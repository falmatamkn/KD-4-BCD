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ouq.muhammad\Desktop\old desktop\babe\mdpi\"/>
    </mc:Choice>
  </mc:AlternateContent>
  <xr:revisionPtr revIDLastSave="0" documentId="13_ncr:1_{EF77C656-1952-42D6-80AC-652067B31D5F}" xr6:coauthVersionLast="36" xr6:coauthVersionMax="36" xr10:uidLastSave="{00000000-0000-0000-0000-000000000000}"/>
  <bookViews>
    <workbookView xWindow="0" yWindow="0" windowWidth="15120" windowHeight="6930" activeTab="1" xr2:uid="{D6820420-5AC4-4B34-B9B6-9DB8862C9B44}"/>
  </bookViews>
  <sheets>
    <sheet name="diff_split_30" sheetId="5" r:id="rId1"/>
    <sheet name="diff_split_30_summary" sheetId="6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27" i="5" l="1"/>
  <c r="U128" i="5" s="1"/>
  <c r="T127" i="5"/>
  <c r="T128" i="5" s="1"/>
  <c r="S127" i="5"/>
  <c r="S128" i="5" s="1"/>
  <c r="R127" i="5"/>
  <c r="R128" i="5" s="1"/>
  <c r="Q127" i="5"/>
  <c r="Q128" i="5" s="1"/>
  <c r="P127" i="5"/>
  <c r="P128" i="5" s="1"/>
  <c r="O127" i="5"/>
  <c r="O128" i="5" s="1"/>
  <c r="N127" i="5"/>
  <c r="N128" i="5" s="1"/>
  <c r="M127" i="5"/>
  <c r="M128" i="5" s="1"/>
  <c r="J127" i="5"/>
  <c r="J128" i="5" s="1"/>
  <c r="I127" i="5"/>
  <c r="H127" i="5"/>
  <c r="H128" i="5" s="1"/>
  <c r="G127" i="5"/>
  <c r="G128" i="5" s="1"/>
  <c r="F127" i="5"/>
  <c r="F128" i="5" s="1"/>
  <c r="E127" i="5"/>
  <c r="E128" i="5" s="1"/>
  <c r="D127" i="5"/>
  <c r="D128" i="5" s="1"/>
  <c r="C127" i="5"/>
  <c r="C128" i="5" s="1"/>
  <c r="B127" i="5"/>
  <c r="B128" i="5" s="1"/>
  <c r="U126" i="5"/>
  <c r="T126" i="5"/>
  <c r="S126" i="5"/>
  <c r="R126" i="5"/>
  <c r="Q126" i="5"/>
  <c r="P126" i="5"/>
  <c r="O126" i="5"/>
  <c r="N126" i="5"/>
  <c r="M126" i="5"/>
  <c r="J126" i="5"/>
  <c r="I126" i="5"/>
  <c r="H126" i="5"/>
  <c r="G126" i="5"/>
  <c r="F126" i="5"/>
  <c r="E126" i="5"/>
  <c r="D126" i="5"/>
  <c r="C126" i="5"/>
  <c r="B126" i="5"/>
  <c r="U109" i="5"/>
  <c r="U110" i="5" s="1"/>
  <c r="T109" i="5"/>
  <c r="T110" i="5" s="1"/>
  <c r="S109" i="5"/>
  <c r="S110" i="5" s="1"/>
  <c r="R109" i="5"/>
  <c r="R110" i="5" s="1"/>
  <c r="Q109" i="5"/>
  <c r="Q110" i="5" s="1"/>
  <c r="P109" i="5"/>
  <c r="P110" i="5" s="1"/>
  <c r="O109" i="5"/>
  <c r="O110" i="5" s="1"/>
  <c r="N109" i="5"/>
  <c r="N110" i="5" s="1"/>
  <c r="M109" i="5"/>
  <c r="M110" i="5" s="1"/>
  <c r="U108" i="5"/>
  <c r="T108" i="5"/>
  <c r="S108" i="5"/>
  <c r="R108" i="5"/>
  <c r="Q108" i="5"/>
  <c r="P108" i="5"/>
  <c r="O108" i="5"/>
  <c r="N108" i="5"/>
  <c r="M108" i="5"/>
  <c r="J109" i="5"/>
  <c r="J110" i="5" s="1"/>
  <c r="I109" i="5"/>
  <c r="I110" i="5" s="1"/>
  <c r="H109" i="5"/>
  <c r="H110" i="5" s="1"/>
  <c r="G109" i="5"/>
  <c r="G110" i="5" s="1"/>
  <c r="F109" i="5"/>
  <c r="F110" i="5" s="1"/>
  <c r="E109" i="5"/>
  <c r="E110" i="5" s="1"/>
  <c r="D109" i="5"/>
  <c r="D110" i="5" s="1"/>
  <c r="C109" i="5"/>
  <c r="C110" i="5" s="1"/>
  <c r="B109" i="5"/>
  <c r="B110" i="5" s="1"/>
  <c r="J108" i="5"/>
  <c r="I108" i="5"/>
  <c r="H108" i="5"/>
  <c r="G108" i="5"/>
  <c r="F108" i="5"/>
  <c r="E108" i="5"/>
  <c r="D108" i="5"/>
  <c r="C108" i="5"/>
  <c r="B108" i="5"/>
  <c r="U91" i="5"/>
  <c r="U92" i="5" s="1"/>
  <c r="T91" i="5"/>
  <c r="T92" i="5" s="1"/>
  <c r="S91" i="5"/>
  <c r="S92" i="5" s="1"/>
  <c r="R91" i="5"/>
  <c r="R92" i="5" s="1"/>
  <c r="Q91" i="5"/>
  <c r="Q92" i="5" s="1"/>
  <c r="P91" i="5"/>
  <c r="P92" i="5" s="1"/>
  <c r="O91" i="5"/>
  <c r="O92" i="5" s="1"/>
  <c r="N91" i="5"/>
  <c r="N92" i="5" s="1"/>
  <c r="M91" i="5"/>
  <c r="M92" i="5" s="1"/>
  <c r="J91" i="5"/>
  <c r="J92" i="5" s="1"/>
  <c r="I91" i="5"/>
  <c r="I92" i="5" s="1"/>
  <c r="H91" i="5"/>
  <c r="H92" i="5" s="1"/>
  <c r="G91" i="5"/>
  <c r="G92" i="5" s="1"/>
  <c r="F91" i="5"/>
  <c r="F92" i="5" s="1"/>
  <c r="E91" i="5"/>
  <c r="E92" i="5" s="1"/>
  <c r="D91" i="5"/>
  <c r="D92" i="5" s="1"/>
  <c r="C91" i="5"/>
  <c r="C92" i="5" s="1"/>
  <c r="B91" i="5"/>
  <c r="B92" i="5" s="1"/>
  <c r="U90" i="5"/>
  <c r="T90" i="5"/>
  <c r="S90" i="5"/>
  <c r="R90" i="5"/>
  <c r="Q90" i="5"/>
  <c r="P90" i="5"/>
  <c r="O90" i="5"/>
  <c r="N90" i="5"/>
  <c r="M90" i="5"/>
  <c r="J90" i="5"/>
  <c r="I90" i="5"/>
  <c r="H90" i="5"/>
  <c r="G90" i="5"/>
  <c r="F90" i="5"/>
  <c r="E90" i="5"/>
  <c r="D90" i="5"/>
  <c r="C90" i="5"/>
  <c r="B90" i="5"/>
  <c r="N72" i="5"/>
  <c r="O72" i="5"/>
  <c r="P72" i="5"/>
  <c r="Q72" i="5"/>
  <c r="R72" i="5"/>
  <c r="S72" i="5"/>
  <c r="T72" i="5"/>
  <c r="U72" i="5"/>
  <c r="N73" i="5"/>
  <c r="O73" i="5"/>
  <c r="P73" i="5"/>
  <c r="Q73" i="5"/>
  <c r="Q74" i="5" s="1"/>
  <c r="R73" i="5"/>
  <c r="R74" i="5" s="1"/>
  <c r="S73" i="5"/>
  <c r="S74" i="5" s="1"/>
  <c r="T73" i="5"/>
  <c r="U73" i="5"/>
  <c r="U74" i="5" s="1"/>
  <c r="N74" i="5"/>
  <c r="O74" i="5"/>
  <c r="P74" i="5"/>
  <c r="T74" i="5"/>
  <c r="M73" i="5"/>
  <c r="M74" i="5" s="1"/>
  <c r="M72" i="5"/>
  <c r="J72" i="5"/>
  <c r="C72" i="5"/>
  <c r="D72" i="5"/>
  <c r="E72" i="5"/>
  <c r="F72" i="5"/>
  <c r="G72" i="5"/>
  <c r="H72" i="5"/>
  <c r="I72" i="5"/>
  <c r="C73" i="5"/>
  <c r="D73" i="5"/>
  <c r="E73" i="5"/>
  <c r="F73" i="5"/>
  <c r="G73" i="5"/>
  <c r="H73" i="5"/>
  <c r="I73" i="5"/>
  <c r="J73" i="5"/>
  <c r="J74" i="5" s="1"/>
  <c r="C74" i="5"/>
  <c r="D74" i="5"/>
  <c r="E74" i="5"/>
  <c r="F74" i="5"/>
  <c r="G74" i="5"/>
  <c r="H74" i="5"/>
  <c r="I74" i="5"/>
  <c r="B73" i="5"/>
  <c r="B74" i="5" s="1"/>
  <c r="B72" i="5"/>
  <c r="N54" i="5"/>
  <c r="O54" i="5"/>
  <c r="P54" i="5"/>
  <c r="Q54" i="5"/>
  <c r="R54" i="5"/>
  <c r="S54" i="5"/>
  <c r="T54" i="5"/>
  <c r="U54" i="5"/>
  <c r="N55" i="5"/>
  <c r="O55" i="5"/>
  <c r="P55" i="5"/>
  <c r="Q55" i="5"/>
  <c r="Q56" i="5" s="1"/>
  <c r="R55" i="5"/>
  <c r="R56" i="5" s="1"/>
  <c r="S55" i="5"/>
  <c r="T55" i="5"/>
  <c r="U55" i="5"/>
  <c r="U56" i="5" s="1"/>
  <c r="N56" i="5"/>
  <c r="O56" i="5"/>
  <c r="P56" i="5"/>
  <c r="S56" i="5"/>
  <c r="T56" i="5"/>
  <c r="M55" i="5"/>
  <c r="M56" i="5" s="1"/>
  <c r="M54" i="5"/>
  <c r="C54" i="5"/>
  <c r="D54" i="5"/>
  <c r="E54" i="5"/>
  <c r="F54" i="5"/>
  <c r="G54" i="5"/>
  <c r="H54" i="5"/>
  <c r="I54" i="5"/>
  <c r="J54" i="5"/>
  <c r="C55" i="5"/>
  <c r="D55" i="5"/>
  <c r="E55" i="5"/>
  <c r="F55" i="5"/>
  <c r="F56" i="5" s="1"/>
  <c r="G55" i="5"/>
  <c r="G56" i="5" s="1"/>
  <c r="H55" i="5"/>
  <c r="H56" i="5" s="1"/>
  <c r="I55" i="5"/>
  <c r="I56" i="5" s="1"/>
  <c r="J55" i="5"/>
  <c r="C56" i="5"/>
  <c r="D56" i="5"/>
  <c r="E56" i="5"/>
  <c r="J56" i="5"/>
  <c r="B55" i="5"/>
  <c r="B56" i="5" s="1"/>
  <c r="B54" i="5"/>
  <c r="N36" i="5"/>
  <c r="O36" i="5"/>
  <c r="P36" i="5"/>
  <c r="Q36" i="5"/>
  <c r="R36" i="5"/>
  <c r="S36" i="5"/>
  <c r="T36" i="5"/>
  <c r="U36" i="5"/>
  <c r="N37" i="5"/>
  <c r="O37" i="5"/>
  <c r="P37" i="5"/>
  <c r="Q37" i="5"/>
  <c r="Q38" i="5" s="1"/>
  <c r="R37" i="5"/>
  <c r="S37" i="5"/>
  <c r="S38" i="5" s="1"/>
  <c r="T37" i="5"/>
  <c r="T38" i="5" s="1"/>
  <c r="U37" i="5"/>
  <c r="U38" i="5" s="1"/>
  <c r="N38" i="5"/>
  <c r="O38" i="5"/>
  <c r="P38" i="5"/>
  <c r="R38" i="5"/>
  <c r="M37" i="5"/>
  <c r="M38" i="5" s="1"/>
  <c r="M36" i="5"/>
  <c r="C36" i="5"/>
  <c r="D36" i="5"/>
  <c r="E36" i="5"/>
  <c r="F36" i="5"/>
  <c r="G36" i="5"/>
  <c r="H36" i="5"/>
  <c r="I36" i="5"/>
  <c r="J36" i="5"/>
  <c r="C37" i="5"/>
  <c r="C38" i="5" s="1"/>
  <c r="D37" i="5"/>
  <c r="D38" i="5" s="1"/>
  <c r="E37" i="5"/>
  <c r="E38" i="5" s="1"/>
  <c r="F37" i="5"/>
  <c r="F38" i="5" s="1"/>
  <c r="G37" i="5"/>
  <c r="G38" i="5" s="1"/>
  <c r="H37" i="5"/>
  <c r="H38" i="5" s="1"/>
  <c r="I37" i="5"/>
  <c r="I38" i="5" s="1"/>
  <c r="J37" i="5"/>
  <c r="J38" i="5" s="1"/>
  <c r="B37" i="5"/>
  <c r="B38" i="5" s="1"/>
  <c r="B36" i="5"/>
  <c r="C18" i="5"/>
  <c r="D18" i="5"/>
  <c r="E18" i="5"/>
  <c r="F18" i="5"/>
  <c r="G18" i="5"/>
  <c r="H18" i="5"/>
  <c r="I18" i="5"/>
  <c r="J18" i="5"/>
  <c r="M18" i="5"/>
  <c r="N18" i="5"/>
  <c r="O18" i="5"/>
  <c r="P18" i="5"/>
  <c r="Q18" i="5"/>
  <c r="R18" i="5"/>
  <c r="S18" i="5"/>
  <c r="T18" i="5"/>
  <c r="U18" i="5"/>
  <c r="C19" i="5"/>
  <c r="C20" i="5" s="1"/>
  <c r="D19" i="5"/>
  <c r="E19" i="5"/>
  <c r="F19" i="5"/>
  <c r="F20" i="5" s="1"/>
  <c r="G19" i="5"/>
  <c r="G20" i="5" s="1"/>
  <c r="H19" i="5"/>
  <c r="H20" i="5" s="1"/>
  <c r="I19" i="5"/>
  <c r="I20" i="5" s="1"/>
  <c r="J19" i="5"/>
  <c r="J20" i="5" s="1"/>
  <c r="M19" i="5"/>
  <c r="M20" i="5" s="1"/>
  <c r="N19" i="5"/>
  <c r="N20" i="5" s="1"/>
  <c r="O19" i="5"/>
  <c r="O20" i="5" s="1"/>
  <c r="P19" i="5"/>
  <c r="Q19" i="5"/>
  <c r="Q20" i="5" s="1"/>
  <c r="R19" i="5"/>
  <c r="R20" i="5" s="1"/>
  <c r="S19" i="5"/>
  <c r="S20" i="5" s="1"/>
  <c r="T19" i="5"/>
  <c r="T20" i="5" s="1"/>
  <c r="U19" i="5"/>
  <c r="U20" i="5" s="1"/>
  <c r="D20" i="5"/>
  <c r="E20" i="5"/>
  <c r="P20" i="5"/>
  <c r="B19" i="5"/>
  <c r="B20" i="5" s="1"/>
  <c r="B18" i="5"/>
</calcChain>
</file>

<file path=xl/sharedStrings.xml><?xml version="1.0" encoding="utf-8"?>
<sst xmlns="http://schemas.openxmlformats.org/spreadsheetml/2006/main" count="303" uniqueCount="30">
  <si>
    <t>Mean</t>
  </si>
  <si>
    <t xml:space="preserve">PCA </t>
  </si>
  <si>
    <t xml:space="preserve"> TM Acc </t>
  </si>
  <si>
    <t xml:space="preserve"> SM_scr Acc </t>
  </si>
  <si>
    <t xml:space="preserve"> SM Acc </t>
  </si>
  <si>
    <t xml:space="preserve"> TM VAcc </t>
  </si>
  <si>
    <t xml:space="preserve"> SM_scr VAcc </t>
  </si>
  <si>
    <t xml:space="preserve"> SM VAcc </t>
  </si>
  <si>
    <t xml:space="preserve">TM EVAcc </t>
  </si>
  <si>
    <t xml:space="preserve"> SM_scr EVAcc </t>
  </si>
  <si>
    <t xml:space="preserve"> SM EVAcc</t>
  </si>
  <si>
    <t>Accuracy</t>
  </si>
  <si>
    <t xml:space="preserve"> TM Loss </t>
  </si>
  <si>
    <t xml:space="preserve"> SM_scr Loss </t>
  </si>
  <si>
    <t xml:space="preserve"> SM Loss </t>
  </si>
  <si>
    <t xml:space="preserve"> TM VLoss </t>
  </si>
  <si>
    <t xml:space="preserve"> SM_scr VLoss </t>
  </si>
  <si>
    <t xml:space="preserve"> SM VLoss </t>
  </si>
  <si>
    <t xml:space="preserve">TM EVLoss </t>
  </si>
  <si>
    <t xml:space="preserve"> SM_scr EVLoss </t>
  </si>
  <si>
    <t xml:space="preserve"> SM EVLoss</t>
  </si>
  <si>
    <t>Training</t>
  </si>
  <si>
    <t>Validation</t>
  </si>
  <si>
    <t>Evaluation</t>
  </si>
  <si>
    <t>SD</t>
  </si>
  <si>
    <t>CI</t>
  </si>
  <si>
    <t>Sample size</t>
  </si>
  <si>
    <t>sn</t>
  </si>
  <si>
    <t>Loss</t>
  </si>
  <si>
    <t>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</si>
</sst>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9" fontId="0" fillId="0" borderId="0" xfId="0" applyNumberFormat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6ED7-F131-4D8A-AF35-E5A0BE3D6EFC}">
  <dimension ref="A1:W128"/>
  <sheetViews>
    <sheetView topLeftCell="A40" workbookViewId="0">
      <selection activeCell="H128" sqref="H128"/>
    </sheetView>
  </sheetViews>
  <sheetFormatPr defaultRowHeight="14.5" x14ac:dyDescent="0.35"/>
  <cols>
    <col min="3" max="3" width="11.81640625" bestFit="1" customWidth="1"/>
    <col min="6" max="6" width="12.08984375" bestFit="1" customWidth="1"/>
    <col min="8" max="8" width="11.81640625" bestFit="1" customWidth="1"/>
    <col min="9" max="9" width="13.1796875" bestFit="1" customWidth="1"/>
    <col min="10" max="10" width="11.81640625" bestFit="1" customWidth="1"/>
    <col min="14" max="14" width="11.81640625" bestFit="1" customWidth="1"/>
    <col min="16" max="16" width="11.81640625" bestFit="1" customWidth="1"/>
    <col min="17" max="17" width="12.90625" bestFit="1" customWidth="1"/>
    <col min="18" max="19" width="11.81640625" bestFit="1" customWidth="1"/>
    <col min="20" max="20" width="13.1796875" customWidth="1"/>
    <col min="21" max="21" width="11.81640625" bestFit="1" customWidth="1"/>
  </cols>
  <sheetData>
    <row r="1" spans="1:23" x14ac:dyDescent="0.35">
      <c r="A1" t="s">
        <v>26</v>
      </c>
      <c r="B1" s="1">
        <v>13</v>
      </c>
    </row>
    <row r="2" spans="1:23" x14ac:dyDescent="0.35">
      <c r="A2" t="s">
        <v>29</v>
      </c>
      <c r="B2" s="4">
        <v>0.3</v>
      </c>
    </row>
    <row r="5" spans="1:23" x14ac:dyDescent="0.35">
      <c r="B5" s="2" t="s">
        <v>11</v>
      </c>
      <c r="C5" s="2"/>
      <c r="D5" s="2"/>
      <c r="E5" s="2"/>
      <c r="F5" s="2"/>
      <c r="G5" s="2"/>
      <c r="H5" s="2"/>
      <c r="I5" s="2"/>
      <c r="J5" s="2"/>
      <c r="M5" s="2" t="s">
        <v>28</v>
      </c>
      <c r="N5" s="2"/>
      <c r="O5" s="2"/>
      <c r="P5" s="2"/>
      <c r="Q5" s="2"/>
      <c r="R5" s="2"/>
      <c r="S5" s="2"/>
      <c r="T5" s="2"/>
      <c r="U5" s="2"/>
    </row>
    <row r="6" spans="1:23" x14ac:dyDescent="0.35">
      <c r="B6" s="2" t="s">
        <v>21</v>
      </c>
      <c r="C6" s="2"/>
      <c r="D6" s="2"/>
      <c r="E6" s="2" t="s">
        <v>22</v>
      </c>
      <c r="F6" s="2"/>
      <c r="G6" s="2"/>
      <c r="H6" s="2" t="s">
        <v>23</v>
      </c>
      <c r="I6" s="2"/>
      <c r="J6" s="2"/>
      <c r="M6" s="2" t="s">
        <v>21</v>
      </c>
      <c r="N6" s="2"/>
      <c r="O6" s="2"/>
      <c r="P6" s="2" t="s">
        <v>22</v>
      </c>
      <c r="Q6" s="2"/>
      <c r="R6" s="2"/>
      <c r="S6" s="2" t="s">
        <v>23</v>
      </c>
      <c r="T6" s="2"/>
      <c r="U6" s="2"/>
    </row>
    <row r="7" spans="1:23" x14ac:dyDescent="0.35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  <c r="J7" t="s">
        <v>10</v>
      </c>
      <c r="L7" t="s">
        <v>1</v>
      </c>
      <c r="M7" t="s">
        <v>12</v>
      </c>
      <c r="N7" t="s">
        <v>13</v>
      </c>
      <c r="O7" t="s">
        <v>14</v>
      </c>
      <c r="P7" t="s">
        <v>15</v>
      </c>
      <c r="Q7" t="s">
        <v>16</v>
      </c>
      <c r="R7" t="s">
        <v>17</v>
      </c>
      <c r="S7" t="s">
        <v>18</v>
      </c>
      <c r="T7" t="s">
        <v>19</v>
      </c>
      <c r="U7" t="s">
        <v>20</v>
      </c>
      <c r="W7" t="s">
        <v>27</v>
      </c>
    </row>
    <row r="8" spans="1:23" x14ac:dyDescent="0.35">
      <c r="A8">
        <v>9</v>
      </c>
      <c r="B8">
        <v>97.236199999999997</v>
      </c>
      <c r="C8">
        <v>74.371899999999997</v>
      </c>
      <c r="D8">
        <v>92.982500000000002</v>
      </c>
      <c r="E8">
        <v>95.906400000000005</v>
      </c>
      <c r="F8">
        <v>87.719300000000004</v>
      </c>
      <c r="G8">
        <v>92.982500000000002</v>
      </c>
      <c r="H8">
        <v>72.474400000000003</v>
      </c>
      <c r="I8">
        <v>65.593000000000004</v>
      </c>
      <c r="J8">
        <v>72.913600000000002</v>
      </c>
      <c r="L8">
        <v>9</v>
      </c>
      <c r="M8">
        <v>8.0600000000000005E-2</v>
      </c>
      <c r="N8">
        <v>0.65190000000000003</v>
      </c>
      <c r="O8">
        <v>0.19789999999999999</v>
      </c>
      <c r="P8">
        <v>0.1111</v>
      </c>
      <c r="Q8">
        <v>0.5806</v>
      </c>
      <c r="R8">
        <v>0.1065</v>
      </c>
      <c r="S8">
        <v>0.58830000000000005</v>
      </c>
      <c r="T8">
        <v>0.66710000000000003</v>
      </c>
      <c r="U8">
        <v>0.64549999999999996</v>
      </c>
      <c r="W8">
        <v>1</v>
      </c>
    </row>
    <row r="9" spans="1:23" x14ac:dyDescent="0.35">
      <c r="A9">
        <v>9</v>
      </c>
      <c r="B9">
        <v>95.7286</v>
      </c>
      <c r="C9">
        <v>74.120599999999996</v>
      </c>
      <c r="D9">
        <v>92.982500000000002</v>
      </c>
      <c r="E9">
        <v>97.075999999999993</v>
      </c>
      <c r="F9">
        <v>85.380099999999999</v>
      </c>
      <c r="G9">
        <v>92.982500000000002</v>
      </c>
      <c r="H9">
        <v>68.667599999999993</v>
      </c>
      <c r="I9">
        <v>65.007300000000001</v>
      </c>
      <c r="J9">
        <v>35.431899999999999</v>
      </c>
      <c r="L9">
        <v>9</v>
      </c>
      <c r="M9">
        <v>0.1011</v>
      </c>
      <c r="N9">
        <v>0.62029999999999996</v>
      </c>
      <c r="O9">
        <v>6.4299999999999996E-2</v>
      </c>
      <c r="P9">
        <v>7.7499999999999999E-2</v>
      </c>
      <c r="Q9">
        <v>0.56269999999999998</v>
      </c>
      <c r="R9">
        <v>9.5000000000000001E-2</v>
      </c>
      <c r="S9">
        <v>0.59350000000000003</v>
      </c>
      <c r="T9">
        <v>0.67230000000000001</v>
      </c>
      <c r="U9">
        <v>0.67700000000000005</v>
      </c>
      <c r="W9">
        <v>2</v>
      </c>
    </row>
    <row r="10" spans="1:23" x14ac:dyDescent="0.35">
      <c r="A10">
        <v>9</v>
      </c>
      <c r="B10">
        <v>96.984899999999996</v>
      </c>
      <c r="C10">
        <v>80.904499999999999</v>
      </c>
      <c r="D10">
        <v>87.719300000000004</v>
      </c>
      <c r="E10">
        <v>92.3977</v>
      </c>
      <c r="F10">
        <v>86.549700000000001</v>
      </c>
      <c r="G10">
        <v>87.719300000000004</v>
      </c>
      <c r="H10">
        <v>65.153700000000001</v>
      </c>
      <c r="I10">
        <v>65.007300000000001</v>
      </c>
      <c r="J10">
        <v>72.181600000000003</v>
      </c>
      <c r="L10">
        <v>9</v>
      </c>
      <c r="M10">
        <v>9.2700000000000005E-2</v>
      </c>
      <c r="N10">
        <v>0.56950000000000001</v>
      </c>
      <c r="O10">
        <v>0.16339999999999999</v>
      </c>
      <c r="P10">
        <v>0.1623</v>
      </c>
      <c r="Q10">
        <v>0.49680000000000002</v>
      </c>
      <c r="R10">
        <v>0.17519999999999999</v>
      </c>
      <c r="S10">
        <v>0.69269999999999998</v>
      </c>
      <c r="T10">
        <v>0.67090000000000005</v>
      </c>
      <c r="U10">
        <v>0.66439999999999999</v>
      </c>
      <c r="W10">
        <v>3</v>
      </c>
    </row>
    <row r="11" spans="1:23" x14ac:dyDescent="0.35">
      <c r="A11">
        <v>9</v>
      </c>
      <c r="B11">
        <v>96.733699999999999</v>
      </c>
      <c r="C11">
        <v>86.934700000000007</v>
      </c>
      <c r="D11">
        <v>90.643299999999996</v>
      </c>
      <c r="E11">
        <v>94.152000000000001</v>
      </c>
      <c r="F11">
        <v>88.304100000000005</v>
      </c>
      <c r="G11">
        <v>90.643299999999996</v>
      </c>
      <c r="H11">
        <v>65.446600000000004</v>
      </c>
      <c r="I11">
        <v>65.593000000000004</v>
      </c>
      <c r="J11">
        <v>65.153700000000001</v>
      </c>
      <c r="L11">
        <v>9</v>
      </c>
      <c r="M11">
        <v>7.6600000000000001E-2</v>
      </c>
      <c r="N11">
        <v>0.3639</v>
      </c>
      <c r="O11">
        <v>0.18160000000000001</v>
      </c>
      <c r="P11">
        <v>0.13189999999999999</v>
      </c>
      <c r="Q11">
        <v>0.32619999999999999</v>
      </c>
      <c r="R11">
        <v>0.36009999999999998</v>
      </c>
      <c r="S11">
        <v>0.80669999999999997</v>
      </c>
      <c r="T11">
        <v>0.66320000000000001</v>
      </c>
      <c r="U11">
        <v>0.65380000000000005</v>
      </c>
      <c r="W11">
        <v>4</v>
      </c>
    </row>
    <row r="12" spans="1:23" x14ac:dyDescent="0.35">
      <c r="A12">
        <v>9</v>
      </c>
      <c r="B12">
        <v>96.231200000000001</v>
      </c>
      <c r="C12">
        <v>87.688400000000001</v>
      </c>
      <c r="D12">
        <v>95.321600000000004</v>
      </c>
      <c r="E12">
        <v>96.491200000000006</v>
      </c>
      <c r="F12">
        <v>92.982500000000002</v>
      </c>
      <c r="G12">
        <v>95.321600000000004</v>
      </c>
      <c r="H12">
        <v>78.3309</v>
      </c>
      <c r="I12">
        <v>65.007300000000001</v>
      </c>
      <c r="J12">
        <v>72.767200000000003</v>
      </c>
      <c r="L12">
        <v>9</v>
      </c>
      <c r="M12">
        <v>8.9399999999999993E-2</v>
      </c>
      <c r="N12">
        <v>0.42709999999999998</v>
      </c>
      <c r="O12">
        <v>0.19700000000000001</v>
      </c>
      <c r="P12">
        <v>0.10489999999999999</v>
      </c>
      <c r="Q12">
        <v>0.38080000000000003</v>
      </c>
      <c r="R12">
        <v>0.32400000000000001</v>
      </c>
      <c r="S12">
        <v>0.56759999999999999</v>
      </c>
      <c r="T12">
        <v>0.66759999999999997</v>
      </c>
      <c r="U12">
        <v>0.66469999999999996</v>
      </c>
      <c r="W12">
        <v>5</v>
      </c>
    </row>
    <row r="13" spans="1:23" x14ac:dyDescent="0.35">
      <c r="A13">
        <v>9</v>
      </c>
      <c r="B13">
        <v>94.974900000000005</v>
      </c>
      <c r="C13">
        <v>89.698499999999996</v>
      </c>
      <c r="D13">
        <v>91.812899999999999</v>
      </c>
      <c r="E13">
        <v>95.321600000000004</v>
      </c>
      <c r="F13">
        <v>90.058499999999995</v>
      </c>
      <c r="G13">
        <v>91.812899999999999</v>
      </c>
      <c r="H13">
        <v>65.593000000000004</v>
      </c>
      <c r="I13">
        <v>65.007300000000001</v>
      </c>
      <c r="J13">
        <v>66.178600000000003</v>
      </c>
      <c r="L13">
        <v>9</v>
      </c>
      <c r="M13">
        <v>0.107</v>
      </c>
      <c r="N13">
        <v>0.36349999999999999</v>
      </c>
      <c r="O13">
        <v>0.21490000000000001</v>
      </c>
      <c r="P13">
        <v>0.1187</v>
      </c>
      <c r="Q13">
        <v>0.33019999999999999</v>
      </c>
      <c r="R13">
        <v>0.21379999999999999</v>
      </c>
      <c r="S13">
        <v>0.71940000000000004</v>
      </c>
      <c r="T13">
        <v>0.66539999999999999</v>
      </c>
      <c r="U13">
        <v>0.65690000000000004</v>
      </c>
      <c r="W13">
        <v>6</v>
      </c>
    </row>
    <row r="14" spans="1:23" x14ac:dyDescent="0.35">
      <c r="A14">
        <v>9</v>
      </c>
      <c r="B14">
        <v>96.231200000000001</v>
      </c>
      <c r="C14">
        <v>89.447199999999995</v>
      </c>
      <c r="D14">
        <v>91.812899999999999</v>
      </c>
      <c r="E14">
        <v>95.906400000000005</v>
      </c>
      <c r="F14">
        <v>90.058499999999995</v>
      </c>
      <c r="G14">
        <v>91.812899999999999</v>
      </c>
      <c r="H14">
        <v>71.156700000000001</v>
      </c>
      <c r="I14">
        <v>65.007300000000001</v>
      </c>
      <c r="J14">
        <v>84.773099999999999</v>
      </c>
      <c r="L14">
        <v>9</v>
      </c>
      <c r="M14">
        <v>9.8199999999999996E-2</v>
      </c>
      <c r="N14">
        <v>0.42770000000000002</v>
      </c>
      <c r="O14">
        <v>0.151</v>
      </c>
      <c r="P14">
        <v>0.1066</v>
      </c>
      <c r="Q14">
        <v>0.40100000000000002</v>
      </c>
      <c r="R14">
        <v>0.1075</v>
      </c>
      <c r="S14">
        <v>0.58779999999999999</v>
      </c>
      <c r="T14">
        <v>0.66859999999999997</v>
      </c>
      <c r="U14">
        <v>0.68479999999999996</v>
      </c>
      <c r="W14">
        <v>7</v>
      </c>
    </row>
    <row r="15" spans="1:23" x14ac:dyDescent="0.35">
      <c r="A15">
        <v>9</v>
      </c>
      <c r="B15">
        <v>95.477400000000003</v>
      </c>
      <c r="C15">
        <v>90.200999999999993</v>
      </c>
      <c r="D15">
        <v>93.567300000000003</v>
      </c>
      <c r="E15">
        <v>95.906400000000005</v>
      </c>
      <c r="F15">
        <v>91.228099999999998</v>
      </c>
      <c r="G15">
        <v>93.567300000000003</v>
      </c>
      <c r="H15">
        <v>72.181600000000003</v>
      </c>
      <c r="I15">
        <v>65.007300000000001</v>
      </c>
      <c r="J15">
        <v>80.380700000000004</v>
      </c>
      <c r="L15">
        <v>9</v>
      </c>
      <c r="M15">
        <v>0.1085</v>
      </c>
      <c r="N15">
        <v>0.3654</v>
      </c>
      <c r="O15">
        <v>0.36580000000000001</v>
      </c>
      <c r="P15">
        <v>0.107</v>
      </c>
      <c r="Q15">
        <v>0.34300000000000003</v>
      </c>
      <c r="R15">
        <v>0.58650000000000002</v>
      </c>
      <c r="S15">
        <v>0.54930000000000001</v>
      </c>
      <c r="T15">
        <v>0.6633</v>
      </c>
      <c r="U15">
        <v>0.65969999999999995</v>
      </c>
      <c r="W15">
        <v>8</v>
      </c>
    </row>
    <row r="16" spans="1:23" x14ac:dyDescent="0.35">
      <c r="A16">
        <v>9</v>
      </c>
      <c r="B16">
        <v>96.733699999999999</v>
      </c>
      <c r="C16">
        <v>89.698499999999996</v>
      </c>
      <c r="D16">
        <v>92.3977</v>
      </c>
      <c r="E16">
        <v>95.321600000000004</v>
      </c>
      <c r="F16">
        <v>90.643299999999996</v>
      </c>
      <c r="G16">
        <v>92.3977</v>
      </c>
      <c r="H16">
        <v>68.228399999999993</v>
      </c>
      <c r="I16">
        <v>65.007300000000001</v>
      </c>
      <c r="J16">
        <v>65.007300000000001</v>
      </c>
      <c r="L16">
        <v>9</v>
      </c>
      <c r="M16">
        <v>8.8800000000000004E-2</v>
      </c>
      <c r="N16">
        <v>0.3488</v>
      </c>
      <c r="O16">
        <v>0.18379999999999999</v>
      </c>
      <c r="P16">
        <v>0.12939999999999999</v>
      </c>
      <c r="Q16">
        <v>0.2974</v>
      </c>
      <c r="R16">
        <v>8.0100000000000005E-2</v>
      </c>
      <c r="S16">
        <v>0.68149999999999999</v>
      </c>
      <c r="T16">
        <v>0.66320000000000001</v>
      </c>
      <c r="U16">
        <v>0.66549999999999998</v>
      </c>
      <c r="W16">
        <v>9</v>
      </c>
    </row>
    <row r="17" spans="1:23" ht="15" thickBot="1" x14ac:dyDescent="0.4">
      <c r="A17" s="3">
        <v>9</v>
      </c>
      <c r="B17" s="3">
        <v>95.979900000000001</v>
      </c>
      <c r="C17" s="3">
        <v>71.859300000000005</v>
      </c>
      <c r="D17" s="3">
        <v>90.643299999999996</v>
      </c>
      <c r="E17" s="3">
        <v>95.321600000000004</v>
      </c>
      <c r="F17" s="3">
        <v>86.549700000000001</v>
      </c>
      <c r="G17" s="3">
        <v>90.643299999999996</v>
      </c>
      <c r="H17" s="3">
        <v>67.642799999999994</v>
      </c>
      <c r="I17" s="3">
        <v>65.007300000000001</v>
      </c>
      <c r="J17" s="3">
        <v>65.153700000000001</v>
      </c>
      <c r="L17" s="3">
        <v>9</v>
      </c>
      <c r="M17" s="3">
        <v>9.1300000000000006E-2</v>
      </c>
      <c r="N17" s="3">
        <v>0.65500000000000003</v>
      </c>
      <c r="O17" s="3">
        <v>6.3600000000000004E-2</v>
      </c>
      <c r="P17" s="3">
        <v>0.1239</v>
      </c>
      <c r="Q17" s="3">
        <v>0.53839999999999999</v>
      </c>
      <c r="R17" s="3">
        <v>0.20430000000000001</v>
      </c>
      <c r="S17" s="3">
        <v>0.6704</v>
      </c>
      <c r="T17" s="3">
        <v>0.66749999999999998</v>
      </c>
      <c r="U17" s="3">
        <v>0.65369999999999995</v>
      </c>
      <c r="W17">
        <v>10</v>
      </c>
    </row>
    <row r="18" spans="1:23" ht="15" thickTop="1" x14ac:dyDescent="0.35">
      <c r="A18" t="s">
        <v>0</v>
      </c>
      <c r="B18">
        <f>AVERAGE(B8:B17)</f>
        <v>96.231169999999992</v>
      </c>
      <c r="C18">
        <f>AVERAGE(C8:C17)</f>
        <v>83.492459999999994</v>
      </c>
      <c r="D18">
        <f>AVERAGE(D8:D17)</f>
        <v>91.988329999999991</v>
      </c>
      <c r="E18">
        <f>AVERAGE(E8:E17)</f>
        <v>95.380089999999981</v>
      </c>
      <c r="F18">
        <f>AVERAGE(F8:F17)</f>
        <v>88.947379999999995</v>
      </c>
      <c r="G18">
        <f>AVERAGE(G8:G17)</f>
        <v>91.988329999999991</v>
      </c>
      <c r="H18">
        <f>AVERAGE(H8:H17)</f>
        <v>69.487569999999991</v>
      </c>
      <c r="I18">
        <f>AVERAGE(I8:I17)</f>
        <v>65.124439999999993</v>
      </c>
      <c r="J18">
        <f>AVERAGE(J8:J17)</f>
        <v>67.994140000000002</v>
      </c>
      <c r="L18" t="s">
        <v>0</v>
      </c>
      <c r="M18">
        <f>AVERAGE(M8:M17)</f>
        <v>9.3420000000000003E-2</v>
      </c>
      <c r="N18">
        <f>AVERAGE(N8:N17)</f>
        <v>0.47931000000000007</v>
      </c>
      <c r="O18">
        <f>AVERAGE(O8:O17)</f>
        <v>0.17833000000000004</v>
      </c>
      <c r="P18">
        <f>AVERAGE(P8:P17)</f>
        <v>0.11733</v>
      </c>
      <c r="Q18">
        <f>AVERAGE(Q8:Q17)</f>
        <v>0.42571000000000003</v>
      </c>
      <c r="R18">
        <f>AVERAGE(R8:R17)</f>
        <v>0.22529999999999997</v>
      </c>
      <c r="S18">
        <f>AVERAGE(S8:S17)</f>
        <v>0.64571999999999985</v>
      </c>
      <c r="T18">
        <f>AVERAGE(T8:T17)</f>
        <v>0.66691</v>
      </c>
      <c r="U18">
        <f>AVERAGE(U8:U17)</f>
        <v>0.66259999999999997</v>
      </c>
    </row>
    <row r="19" spans="1:23" x14ac:dyDescent="0.35">
      <c r="A19" t="s">
        <v>24</v>
      </c>
      <c r="B19">
        <f>STDEV(B8:B17)</f>
        <v>0.71066195753598993</v>
      </c>
      <c r="C19">
        <f>STDEV(C8:C17)</f>
        <v>7.453504426956937</v>
      </c>
      <c r="D19">
        <f>STDEV(D8:D17)</f>
        <v>2.0453890377301507</v>
      </c>
      <c r="E19">
        <f>STDEV(E8:E17)</f>
        <v>1.3061734276971884</v>
      </c>
      <c r="F19">
        <f>STDEV(F8:F17)</f>
        <v>2.4261174308850837</v>
      </c>
      <c r="G19">
        <f>STDEV(G8:G17)</f>
        <v>2.0453890377301507</v>
      </c>
      <c r="H19">
        <f>STDEV(H8:H17)</f>
        <v>4.1245876693717323</v>
      </c>
      <c r="I19">
        <f>STDEV(I8:I17)</f>
        <v>0.24695280340808379</v>
      </c>
      <c r="J19">
        <f>STDEV(J8:J17)</f>
        <v>13.28378898550991</v>
      </c>
      <c r="L19" t="s">
        <v>24</v>
      </c>
      <c r="M19">
        <f>STDEV(M8:M17)</f>
        <v>1.0453261054171905E-2</v>
      </c>
      <c r="N19">
        <f>STDEV(N8:N17)</f>
        <v>0.12944151360535147</v>
      </c>
      <c r="O19">
        <f>STDEV(O8:O17)</f>
        <v>8.458406797710509E-2</v>
      </c>
      <c r="P19">
        <f>STDEV(P8:P17)</f>
        <v>2.217832024497994E-2</v>
      </c>
      <c r="Q19">
        <f>STDEV(Q8:Q17)</f>
        <v>0.10825191247989815</v>
      </c>
      <c r="R19">
        <f>STDEV(R8:R17)</f>
        <v>0.15899435349862101</v>
      </c>
      <c r="S19">
        <f>STDEV(S8:S17)</f>
        <v>8.1797851099186525E-2</v>
      </c>
      <c r="T19">
        <f>STDEV(T8:T17)</f>
        <v>3.1890263230159943E-3</v>
      </c>
      <c r="U19">
        <f>STDEV(U8:U17)</f>
        <v>1.1576892693829572E-2</v>
      </c>
    </row>
    <row r="20" spans="1:23" x14ac:dyDescent="0.35">
      <c r="A20" t="s">
        <v>25</v>
      </c>
      <c r="B20">
        <f>_xlfn.CONFIDENCE.NORM(0.05,B19,$B$1)</f>
        <v>0.38631314202403849</v>
      </c>
      <c r="C20">
        <f t="shared" ref="C20:U20" si="0">_xlfn.CONFIDENCE.NORM(0.05,C19,$B$1)</f>
        <v>4.051696708588759</v>
      </c>
      <c r="D20">
        <f t="shared" si="0"/>
        <v>1.1118657154052645</v>
      </c>
      <c r="E20">
        <f t="shared" si="0"/>
        <v>0.71003091629040127</v>
      </c>
      <c r="F20">
        <f t="shared" si="0"/>
        <v>1.318828224454438</v>
      </c>
      <c r="G20">
        <f t="shared" si="0"/>
        <v>1.1118657154052645</v>
      </c>
      <c r="H20">
        <f t="shared" si="0"/>
        <v>2.2421101976995956</v>
      </c>
      <c r="I20">
        <f t="shared" si="0"/>
        <v>0.13424260635393606</v>
      </c>
      <c r="J20">
        <f t="shared" si="0"/>
        <v>7.2210172594144586</v>
      </c>
      <c r="L20" t="s">
        <v>25</v>
      </c>
      <c r="M20">
        <f t="shared" si="0"/>
        <v>5.6823530222949266E-3</v>
      </c>
      <c r="N20">
        <f t="shared" si="0"/>
        <v>7.0363915359431997E-2</v>
      </c>
      <c r="O20">
        <f t="shared" si="0"/>
        <v>4.5979578221274811E-2</v>
      </c>
      <c r="P20">
        <f t="shared" si="0"/>
        <v>1.2056050683168373E-2</v>
      </c>
      <c r="Q20">
        <f t="shared" si="0"/>
        <v>5.8845328635876562E-2</v>
      </c>
      <c r="R20">
        <f t="shared" si="0"/>
        <v>8.6428726925378438E-2</v>
      </c>
      <c r="S20">
        <f t="shared" si="0"/>
        <v>4.446500130456315E-2</v>
      </c>
      <c r="T20">
        <f t="shared" si="0"/>
        <v>1.7335426017640531E-3</v>
      </c>
      <c r="U20">
        <f t="shared" si="0"/>
        <v>6.293154915643486E-3</v>
      </c>
    </row>
    <row r="23" spans="1:23" x14ac:dyDescent="0.35">
      <c r="B23" s="2" t="s">
        <v>11</v>
      </c>
      <c r="C23" s="2"/>
      <c r="D23" s="2"/>
      <c r="E23" s="2"/>
      <c r="F23" s="2"/>
      <c r="G23" s="2"/>
      <c r="H23" s="2"/>
      <c r="I23" s="2"/>
      <c r="J23" s="2"/>
      <c r="M23" s="2" t="s">
        <v>28</v>
      </c>
      <c r="N23" s="2"/>
      <c r="O23" s="2"/>
      <c r="P23" s="2"/>
      <c r="Q23" s="2"/>
      <c r="R23" s="2"/>
      <c r="S23" s="2"/>
      <c r="T23" s="2"/>
      <c r="U23" s="2"/>
    </row>
    <row r="24" spans="1:23" x14ac:dyDescent="0.35">
      <c r="B24" s="2" t="s">
        <v>21</v>
      </c>
      <c r="C24" s="2"/>
      <c r="D24" s="2"/>
      <c r="E24" s="2" t="s">
        <v>22</v>
      </c>
      <c r="F24" s="2"/>
      <c r="G24" s="2"/>
      <c r="H24" s="2" t="s">
        <v>23</v>
      </c>
      <c r="I24" s="2"/>
      <c r="J24" s="2"/>
      <c r="M24" s="2" t="s">
        <v>21</v>
      </c>
      <c r="N24" s="2"/>
      <c r="O24" s="2"/>
      <c r="P24" s="2" t="s">
        <v>22</v>
      </c>
      <c r="Q24" s="2"/>
      <c r="R24" s="2"/>
      <c r="S24" s="2" t="s">
        <v>23</v>
      </c>
      <c r="T24" s="2"/>
      <c r="U24" s="2"/>
    </row>
    <row r="25" spans="1:23" x14ac:dyDescent="0.35">
      <c r="A25" t="s">
        <v>1</v>
      </c>
      <c r="B25" t="s">
        <v>2</v>
      </c>
      <c r="C25" t="s">
        <v>3</v>
      </c>
      <c r="D25" t="s">
        <v>4</v>
      </c>
      <c r="E25" t="s">
        <v>5</v>
      </c>
      <c r="F25" t="s">
        <v>6</v>
      </c>
      <c r="G25" t="s">
        <v>7</v>
      </c>
      <c r="H25" t="s">
        <v>8</v>
      </c>
      <c r="I25" t="s">
        <v>9</v>
      </c>
      <c r="J25" t="s">
        <v>10</v>
      </c>
      <c r="L25" t="s">
        <v>1</v>
      </c>
      <c r="M25" t="s">
        <v>12</v>
      </c>
      <c r="N25" t="s">
        <v>13</v>
      </c>
      <c r="O25" t="s">
        <v>14</v>
      </c>
      <c r="P25" t="s">
        <v>15</v>
      </c>
      <c r="Q25" t="s">
        <v>16</v>
      </c>
      <c r="R25" t="s">
        <v>17</v>
      </c>
      <c r="S25" t="s">
        <v>18</v>
      </c>
      <c r="T25" t="s">
        <v>19</v>
      </c>
      <c r="U25" t="s">
        <v>20</v>
      </c>
      <c r="W25" t="s">
        <v>27</v>
      </c>
    </row>
    <row r="26" spans="1:23" x14ac:dyDescent="0.35">
      <c r="A26">
        <v>8</v>
      </c>
      <c r="B26">
        <v>95.477400000000003</v>
      </c>
      <c r="C26">
        <v>87.437200000000004</v>
      </c>
      <c r="D26">
        <v>95.321600000000004</v>
      </c>
      <c r="E26">
        <v>97.660799999999995</v>
      </c>
      <c r="F26">
        <v>92.3977</v>
      </c>
      <c r="G26">
        <v>95.321600000000004</v>
      </c>
      <c r="H26">
        <v>72.328000000000003</v>
      </c>
      <c r="I26">
        <v>65.153700000000001</v>
      </c>
      <c r="J26">
        <v>81.991200000000006</v>
      </c>
      <c r="L26">
        <v>8</v>
      </c>
      <c r="M26">
        <v>0.111</v>
      </c>
      <c r="N26">
        <v>0.38600000000000001</v>
      </c>
      <c r="O26">
        <v>0.2278</v>
      </c>
      <c r="P26">
        <v>8.1900000000000001E-2</v>
      </c>
      <c r="Q26">
        <v>0.3342</v>
      </c>
      <c r="R26">
        <v>7.0800000000000002E-2</v>
      </c>
      <c r="S26">
        <v>0.55900000000000005</v>
      </c>
      <c r="T26">
        <v>0.6663</v>
      </c>
      <c r="U26">
        <v>0.67459999999999998</v>
      </c>
      <c r="W26">
        <v>1</v>
      </c>
    </row>
    <row r="27" spans="1:23" x14ac:dyDescent="0.35">
      <c r="A27">
        <v>8</v>
      </c>
      <c r="B27">
        <v>95.7286</v>
      </c>
      <c r="C27">
        <v>73.869299999999996</v>
      </c>
      <c r="D27">
        <v>91.812899999999999</v>
      </c>
      <c r="E27">
        <v>96.491200000000006</v>
      </c>
      <c r="F27">
        <v>88.304100000000005</v>
      </c>
      <c r="G27">
        <v>91.812899999999999</v>
      </c>
      <c r="H27">
        <v>69.692499999999995</v>
      </c>
      <c r="I27">
        <v>65.007300000000001</v>
      </c>
      <c r="J27">
        <v>89.165400000000005</v>
      </c>
      <c r="L27">
        <v>8</v>
      </c>
      <c r="M27">
        <v>0.107</v>
      </c>
      <c r="N27">
        <v>0.65480000000000005</v>
      </c>
      <c r="O27">
        <v>0.1414</v>
      </c>
      <c r="P27">
        <v>9.7199999999999995E-2</v>
      </c>
      <c r="Q27">
        <v>0.60829999999999995</v>
      </c>
      <c r="R27">
        <v>0.4113</v>
      </c>
      <c r="S27">
        <v>0.60029999999999994</v>
      </c>
      <c r="T27">
        <v>0.6764</v>
      </c>
      <c r="U27">
        <v>0.67549999999999999</v>
      </c>
      <c r="W27">
        <v>2</v>
      </c>
    </row>
    <row r="28" spans="1:23" x14ac:dyDescent="0.35">
      <c r="A28">
        <v>8</v>
      </c>
      <c r="B28">
        <v>96.231200000000001</v>
      </c>
      <c r="C28">
        <v>72.361800000000002</v>
      </c>
      <c r="D28">
        <v>93.567300000000003</v>
      </c>
      <c r="E28">
        <v>95.321600000000004</v>
      </c>
      <c r="F28">
        <v>77.192999999999998</v>
      </c>
      <c r="G28">
        <v>93.567300000000003</v>
      </c>
      <c r="H28">
        <v>70.863799999999998</v>
      </c>
      <c r="I28">
        <v>67.789199999999994</v>
      </c>
      <c r="J28">
        <v>88.872600000000006</v>
      </c>
      <c r="L28">
        <v>8</v>
      </c>
      <c r="M28">
        <v>8.7499999999999994E-2</v>
      </c>
      <c r="N28">
        <v>0.66959999999999997</v>
      </c>
      <c r="O28">
        <v>0.1148</v>
      </c>
      <c r="P28">
        <v>0.1084</v>
      </c>
      <c r="Q28">
        <v>0.5927</v>
      </c>
      <c r="R28">
        <v>7.7399999999999997E-2</v>
      </c>
      <c r="S28">
        <v>0.5615</v>
      </c>
      <c r="T28">
        <v>0.67949999999999999</v>
      </c>
      <c r="U28">
        <v>0.67800000000000005</v>
      </c>
      <c r="W28">
        <v>3</v>
      </c>
    </row>
    <row r="29" spans="1:23" x14ac:dyDescent="0.35">
      <c r="A29">
        <v>8</v>
      </c>
      <c r="B29">
        <v>96.482399999999998</v>
      </c>
      <c r="C29">
        <v>77.638199999999998</v>
      </c>
      <c r="D29">
        <v>91.228099999999998</v>
      </c>
      <c r="E29">
        <v>94.736800000000002</v>
      </c>
      <c r="F29">
        <v>86.549700000000001</v>
      </c>
      <c r="G29">
        <v>91.228099999999998</v>
      </c>
      <c r="H29">
        <v>67.203500000000005</v>
      </c>
      <c r="I29">
        <v>65.007300000000001</v>
      </c>
      <c r="J29">
        <v>89.165400000000005</v>
      </c>
      <c r="L29">
        <v>8</v>
      </c>
      <c r="M29">
        <v>7.9000000000000001E-2</v>
      </c>
      <c r="N29">
        <v>0.53380000000000005</v>
      </c>
      <c r="O29">
        <v>0.22059999999999999</v>
      </c>
      <c r="P29">
        <v>0.13750000000000001</v>
      </c>
      <c r="Q29">
        <v>0.46210000000000001</v>
      </c>
      <c r="R29">
        <v>0.17699999999999999</v>
      </c>
      <c r="S29">
        <v>0.67869999999999997</v>
      </c>
      <c r="T29">
        <v>0.67159999999999997</v>
      </c>
      <c r="U29">
        <v>0.66949999999999998</v>
      </c>
      <c r="W29">
        <v>4</v>
      </c>
    </row>
    <row r="30" spans="1:23" x14ac:dyDescent="0.35">
      <c r="A30">
        <v>8</v>
      </c>
      <c r="B30">
        <v>96.482399999999998</v>
      </c>
      <c r="C30">
        <v>92.211100000000002</v>
      </c>
      <c r="D30">
        <v>94.152000000000001</v>
      </c>
      <c r="E30">
        <v>95.906400000000005</v>
      </c>
      <c r="F30">
        <v>92.982500000000002</v>
      </c>
      <c r="G30">
        <v>94.152000000000001</v>
      </c>
      <c r="H30">
        <v>73.06</v>
      </c>
      <c r="I30">
        <v>65.007300000000001</v>
      </c>
      <c r="J30">
        <v>32.650100000000002</v>
      </c>
      <c r="L30">
        <v>8</v>
      </c>
      <c r="M30">
        <v>0.1051</v>
      </c>
      <c r="N30">
        <v>0.37219999999999998</v>
      </c>
      <c r="O30">
        <v>0.29160000000000003</v>
      </c>
      <c r="P30">
        <v>9.2999999999999999E-2</v>
      </c>
      <c r="Q30">
        <v>0.31230000000000002</v>
      </c>
      <c r="R30">
        <v>0.1109</v>
      </c>
      <c r="S30">
        <v>0.53139999999999998</v>
      </c>
      <c r="T30">
        <v>0.66649999999999998</v>
      </c>
      <c r="U30">
        <v>0.70689999999999997</v>
      </c>
      <c r="W30">
        <v>5</v>
      </c>
    </row>
    <row r="31" spans="1:23" x14ac:dyDescent="0.35">
      <c r="A31">
        <v>8</v>
      </c>
      <c r="B31">
        <v>96.733699999999999</v>
      </c>
      <c r="C31">
        <v>86.180899999999994</v>
      </c>
      <c r="D31">
        <v>94.736800000000002</v>
      </c>
      <c r="E31">
        <v>94.736800000000002</v>
      </c>
      <c r="F31">
        <v>92.982500000000002</v>
      </c>
      <c r="G31">
        <v>94.736800000000002</v>
      </c>
      <c r="H31">
        <v>71.156700000000001</v>
      </c>
      <c r="I31">
        <v>65.3001</v>
      </c>
      <c r="J31">
        <v>81.259100000000004</v>
      </c>
      <c r="L31">
        <v>8</v>
      </c>
      <c r="M31">
        <v>8.5699999999999998E-2</v>
      </c>
      <c r="N31">
        <v>0.45679999999999998</v>
      </c>
      <c r="O31">
        <v>0.1172</v>
      </c>
      <c r="P31">
        <v>0.14710000000000001</v>
      </c>
      <c r="Q31">
        <v>0.34820000000000001</v>
      </c>
      <c r="R31">
        <v>9.1399999999999995E-2</v>
      </c>
      <c r="S31">
        <v>0.64290000000000003</v>
      </c>
      <c r="T31">
        <v>0.66930000000000001</v>
      </c>
      <c r="U31">
        <v>0.67689999999999995</v>
      </c>
      <c r="W31">
        <v>6</v>
      </c>
    </row>
    <row r="32" spans="1:23" x14ac:dyDescent="0.35">
      <c r="A32">
        <v>8</v>
      </c>
      <c r="B32">
        <v>96.733699999999999</v>
      </c>
      <c r="C32">
        <v>82.412099999999995</v>
      </c>
      <c r="D32">
        <v>91.228099999999998</v>
      </c>
      <c r="E32">
        <v>93.567300000000003</v>
      </c>
      <c r="F32">
        <v>88.888900000000007</v>
      </c>
      <c r="G32">
        <v>91.228099999999998</v>
      </c>
      <c r="H32">
        <v>65.153700000000001</v>
      </c>
      <c r="I32">
        <v>65.007300000000001</v>
      </c>
      <c r="J32">
        <v>84.187399999999997</v>
      </c>
      <c r="L32">
        <v>8</v>
      </c>
      <c r="M32">
        <v>8.2400000000000001E-2</v>
      </c>
      <c r="N32">
        <v>0.47210000000000002</v>
      </c>
      <c r="O32">
        <v>4.4900000000000002E-2</v>
      </c>
      <c r="P32">
        <v>0.14990000000000001</v>
      </c>
      <c r="Q32">
        <v>0.39560000000000001</v>
      </c>
      <c r="R32">
        <v>0.1036</v>
      </c>
      <c r="S32">
        <v>0.92749999999999999</v>
      </c>
      <c r="T32">
        <v>0.66479999999999995</v>
      </c>
      <c r="U32">
        <v>0.67700000000000005</v>
      </c>
      <c r="W32">
        <v>7</v>
      </c>
    </row>
    <row r="33" spans="1:23" x14ac:dyDescent="0.35">
      <c r="A33">
        <v>8</v>
      </c>
      <c r="B33">
        <v>96.984899999999996</v>
      </c>
      <c r="C33">
        <v>89.949799999999996</v>
      </c>
      <c r="D33">
        <v>92.982500000000002</v>
      </c>
      <c r="E33">
        <v>95.321600000000004</v>
      </c>
      <c r="F33">
        <v>90.643299999999996</v>
      </c>
      <c r="G33">
        <v>92.982500000000002</v>
      </c>
      <c r="H33">
        <v>72.620800000000003</v>
      </c>
      <c r="I33">
        <v>65.007300000000001</v>
      </c>
      <c r="J33">
        <v>64.421700000000001</v>
      </c>
      <c r="L33">
        <v>8</v>
      </c>
      <c r="M33">
        <v>8.9800000000000005E-2</v>
      </c>
      <c r="N33">
        <v>0.3266</v>
      </c>
      <c r="O33">
        <v>4.8599999999999997E-2</v>
      </c>
      <c r="P33">
        <v>0.11219999999999999</v>
      </c>
      <c r="Q33">
        <v>0.29260000000000003</v>
      </c>
      <c r="R33">
        <v>0.29699999999999999</v>
      </c>
      <c r="S33">
        <v>0.57169999999999999</v>
      </c>
      <c r="T33">
        <v>0.66649999999999998</v>
      </c>
      <c r="U33">
        <v>0.67</v>
      </c>
      <c r="W33">
        <v>8</v>
      </c>
    </row>
    <row r="34" spans="1:23" x14ac:dyDescent="0.35">
      <c r="A34">
        <v>8</v>
      </c>
      <c r="B34">
        <v>96.733699999999999</v>
      </c>
      <c r="C34">
        <v>87.185900000000004</v>
      </c>
      <c r="D34">
        <v>92.982500000000002</v>
      </c>
      <c r="E34">
        <v>92.982500000000002</v>
      </c>
      <c r="F34">
        <v>93.567300000000003</v>
      </c>
      <c r="G34">
        <v>92.982500000000002</v>
      </c>
      <c r="H34">
        <v>65.885800000000003</v>
      </c>
      <c r="I34">
        <v>65.007300000000001</v>
      </c>
      <c r="J34">
        <v>85.797899999999998</v>
      </c>
      <c r="L34">
        <v>8</v>
      </c>
      <c r="M34">
        <v>8.3099999999999993E-2</v>
      </c>
      <c r="N34">
        <v>0.45419999999999999</v>
      </c>
      <c r="O34">
        <v>0.1444</v>
      </c>
      <c r="P34">
        <v>0.16270000000000001</v>
      </c>
      <c r="Q34">
        <v>0.37609999999999999</v>
      </c>
      <c r="R34">
        <v>0.16250000000000001</v>
      </c>
      <c r="S34">
        <v>0.81979999999999997</v>
      </c>
      <c r="T34">
        <v>0.66659999999999997</v>
      </c>
      <c r="U34">
        <v>0.66920000000000002</v>
      </c>
      <c r="W34">
        <v>9</v>
      </c>
    </row>
    <row r="35" spans="1:23" ht="15" thickBot="1" x14ac:dyDescent="0.4">
      <c r="A35" s="3">
        <v>8</v>
      </c>
      <c r="B35" s="3">
        <v>96.733699999999999</v>
      </c>
      <c r="C35" s="3">
        <v>87.688400000000001</v>
      </c>
      <c r="D35" s="3">
        <v>95.321600000000004</v>
      </c>
      <c r="E35" s="3">
        <v>96.491200000000006</v>
      </c>
      <c r="F35" s="3">
        <v>94.152000000000001</v>
      </c>
      <c r="G35" s="3">
        <v>95.321600000000004</v>
      </c>
      <c r="H35" s="3">
        <v>67.203500000000005</v>
      </c>
      <c r="I35" s="3">
        <v>65.007300000000001</v>
      </c>
      <c r="J35" s="3">
        <v>33.821399999999997</v>
      </c>
      <c r="L35" s="3">
        <v>8</v>
      </c>
      <c r="M35" s="3">
        <v>0.1099</v>
      </c>
      <c r="N35" s="3">
        <v>0.32279999999999998</v>
      </c>
      <c r="O35" s="3">
        <v>0.10730000000000001</v>
      </c>
      <c r="P35" s="3">
        <v>9.6600000000000005E-2</v>
      </c>
      <c r="Q35" s="3">
        <v>0.23300000000000001</v>
      </c>
      <c r="R35" s="3">
        <v>0.1074</v>
      </c>
      <c r="S35" s="3">
        <v>0.74780000000000002</v>
      </c>
      <c r="T35" s="3">
        <v>0.66420000000000001</v>
      </c>
      <c r="U35" s="3">
        <v>0.6895</v>
      </c>
      <c r="W35">
        <v>10</v>
      </c>
    </row>
    <row r="36" spans="1:23" ht="15" thickTop="1" x14ac:dyDescent="0.35">
      <c r="A36" t="s">
        <v>0</v>
      </c>
      <c r="B36">
        <f>AVERAGE(B26:B35)</f>
        <v>96.432170000000013</v>
      </c>
      <c r="C36">
        <f>AVERAGE(C26:C35)</f>
        <v>83.693470000000005</v>
      </c>
      <c r="D36">
        <f>AVERAGE(D26:D35)</f>
        <v>93.333339999999993</v>
      </c>
      <c r="E36">
        <f>AVERAGE(E26:E35)</f>
        <v>95.32162000000001</v>
      </c>
      <c r="F36">
        <f>AVERAGE(F26:F35)</f>
        <v>89.766100000000009</v>
      </c>
      <c r="G36">
        <f>AVERAGE(G26:G35)</f>
        <v>93.333339999999993</v>
      </c>
      <c r="H36">
        <f>AVERAGE(H26:H35)</f>
        <v>69.516829999999999</v>
      </c>
      <c r="I36">
        <f>AVERAGE(I26:I35)</f>
        <v>65.329409999999996</v>
      </c>
      <c r="J36">
        <f>AVERAGE(J26:J35)</f>
        <v>73.133220000000009</v>
      </c>
      <c r="L36" t="s">
        <v>0</v>
      </c>
      <c r="M36">
        <f>AVERAGE(M26:M35)</f>
        <v>9.4049999999999995E-2</v>
      </c>
      <c r="N36">
        <f>AVERAGE(N26:N35)</f>
        <v>0.46489000000000003</v>
      </c>
      <c r="O36">
        <f>AVERAGE(O26:O35)</f>
        <v>0.14585999999999999</v>
      </c>
      <c r="P36">
        <f>AVERAGE(P26:P35)</f>
        <v>0.11865000000000001</v>
      </c>
      <c r="Q36">
        <f>AVERAGE(Q26:Q35)</f>
        <v>0.39550999999999997</v>
      </c>
      <c r="R36">
        <f>AVERAGE(R26:R35)</f>
        <v>0.16092999999999999</v>
      </c>
      <c r="S36">
        <f>AVERAGE(S26:S35)</f>
        <v>0.66405999999999998</v>
      </c>
      <c r="T36">
        <f>AVERAGE(T26:T35)</f>
        <v>0.66916999999999993</v>
      </c>
      <c r="U36">
        <f>AVERAGE(U26:U35)</f>
        <v>0.67870999999999992</v>
      </c>
    </row>
    <row r="37" spans="1:23" x14ac:dyDescent="0.35">
      <c r="A37" t="s">
        <v>24</v>
      </c>
      <c r="B37">
        <f>STDEV(B26:B35)</f>
        <v>0.48548067371992676</v>
      </c>
      <c r="C37">
        <f>STDEV(C26:C35)</f>
        <v>6.8579257168541057</v>
      </c>
      <c r="D37">
        <f>STDEV(D26:D35)</f>
        <v>1.5642883800629623</v>
      </c>
      <c r="E37">
        <f>STDEV(E26:E35)</f>
        <v>1.4056519000093866</v>
      </c>
      <c r="F37">
        <f>STDEV(F26:F35)</f>
        <v>5.0925380376040836</v>
      </c>
      <c r="G37">
        <f>STDEV(G26:G35)</f>
        <v>1.5642883800629623</v>
      </c>
      <c r="H37">
        <f>STDEV(H26:H35)</f>
        <v>2.9354158433592406</v>
      </c>
      <c r="I37">
        <f>STDEV(I26:I35)</f>
        <v>0.86977544285867048</v>
      </c>
      <c r="J37">
        <f>STDEV(J26:J35)</f>
        <v>22.233771114320664</v>
      </c>
      <c r="L37" t="s">
        <v>24</v>
      </c>
      <c r="M37">
        <f>STDEV(M26:M35)</f>
        <v>1.265413854129244E-2</v>
      </c>
      <c r="N37">
        <f t="shared" ref="N37:U37" si="1">STDEV(N26:N35)</f>
        <v>0.12341485999127759</v>
      </c>
      <c r="O37">
        <f t="shared" si="1"/>
        <v>7.9223890897183874E-2</v>
      </c>
      <c r="P37">
        <f t="shared" si="1"/>
        <v>2.8251145502832614E-2</v>
      </c>
      <c r="Q37">
        <f t="shared" si="1"/>
        <v>0.12422895037434376</v>
      </c>
      <c r="R37">
        <f t="shared" si="1"/>
        <v>0.11057987610772588</v>
      </c>
      <c r="S37">
        <f t="shared" si="1"/>
        <v>0.1304183797544565</v>
      </c>
      <c r="T37">
        <f t="shared" si="1"/>
        <v>5.140265881579802E-3</v>
      </c>
      <c r="U37">
        <f t="shared" si="1"/>
        <v>1.1528365982316055E-2</v>
      </c>
    </row>
    <row r="38" spans="1:23" x14ac:dyDescent="0.35">
      <c r="A38" t="s">
        <v>25</v>
      </c>
      <c r="B38">
        <f>_xlfn.CONFIDENCE.NORM(0.05,B37,$B$1)</f>
        <v>0.26390545106277763</v>
      </c>
      <c r="C38">
        <f t="shared" ref="C38:J38" si="2">_xlfn.CONFIDENCE.NORM(0.05,C37,$B$1)</f>
        <v>3.7279423829454075</v>
      </c>
      <c r="D38">
        <f t="shared" si="2"/>
        <v>0.85034122443962756</v>
      </c>
      <c r="E38">
        <f t="shared" si="2"/>
        <v>0.76410703616027675</v>
      </c>
      <c r="F38">
        <f t="shared" si="2"/>
        <v>2.768284342959408</v>
      </c>
      <c r="G38">
        <f t="shared" si="2"/>
        <v>0.85034122443962756</v>
      </c>
      <c r="H38">
        <f t="shared" si="2"/>
        <v>1.5956809078778114</v>
      </c>
      <c r="I38">
        <f t="shared" si="2"/>
        <v>0.47280662855668093</v>
      </c>
      <c r="J38">
        <f t="shared" si="2"/>
        <v>12.086193565217739</v>
      </c>
      <c r="L38" t="s">
        <v>25</v>
      </c>
      <c r="M38">
        <f t="shared" ref="M38" si="3">_xlfn.CONFIDENCE.NORM(0.05,M37,$B$1)</f>
        <v>6.8787416684628153E-3</v>
      </c>
      <c r="N38">
        <f t="shared" ref="N38" si="4">_xlfn.CONFIDENCE.NORM(0.05,N37,$B$1)</f>
        <v>6.7087849335558059E-2</v>
      </c>
      <c r="O38">
        <f t="shared" ref="O38" si="5">_xlfn.CONFIDENCE.NORM(0.05,O37,$B$1)</f>
        <v>4.3065806311027688E-2</v>
      </c>
      <c r="P38">
        <f t="shared" ref="P38" si="6">_xlfn.CONFIDENCE.NORM(0.05,P37,$B$1)</f>
        <v>1.5357215437305644E-2</v>
      </c>
      <c r="Q38">
        <f t="shared" ref="Q38" si="7">_xlfn.CONFIDENCE.NORM(0.05,Q37,$B$1)</f>
        <v>6.7530385777024901E-2</v>
      </c>
      <c r="R38">
        <f t="shared" ref="R38" si="8">_xlfn.CONFIDENCE.NORM(0.05,R37,$B$1)</f>
        <v>6.0110800825638827E-2</v>
      </c>
      <c r="S38">
        <f t="shared" ref="S38" si="9">_xlfn.CONFIDENCE.NORM(0.05,S37,$B$1)</f>
        <v>7.0894936089324637E-2</v>
      </c>
      <c r="T38">
        <f t="shared" ref="T38" si="10">_xlfn.CONFIDENCE.NORM(0.05,T37,$B$1)</f>
        <v>2.7942290177415236E-3</v>
      </c>
      <c r="U38">
        <f t="shared" ref="U38" si="11">_xlfn.CONFIDENCE.NORM(0.05,U37,$B$1)</f>
        <v>6.266775979500796E-3</v>
      </c>
    </row>
    <row r="41" spans="1:23" x14ac:dyDescent="0.35">
      <c r="B41" s="2" t="s">
        <v>11</v>
      </c>
      <c r="C41" s="2"/>
      <c r="D41" s="2"/>
      <c r="E41" s="2"/>
      <c r="F41" s="2"/>
      <c r="G41" s="2"/>
      <c r="H41" s="2"/>
      <c r="I41" s="2"/>
      <c r="J41" s="2"/>
      <c r="M41" s="2" t="s">
        <v>28</v>
      </c>
      <c r="N41" s="2"/>
      <c r="O41" s="2"/>
      <c r="P41" s="2"/>
      <c r="Q41" s="2"/>
      <c r="R41" s="2"/>
      <c r="S41" s="2"/>
      <c r="T41" s="2"/>
      <c r="U41" s="2"/>
    </row>
    <row r="42" spans="1:23" x14ac:dyDescent="0.35">
      <c r="B42" s="2" t="s">
        <v>21</v>
      </c>
      <c r="C42" s="2"/>
      <c r="D42" s="2"/>
      <c r="E42" s="2" t="s">
        <v>22</v>
      </c>
      <c r="F42" s="2"/>
      <c r="G42" s="2"/>
      <c r="H42" s="2" t="s">
        <v>23</v>
      </c>
      <c r="I42" s="2"/>
      <c r="J42" s="2"/>
      <c r="M42" s="2" t="s">
        <v>21</v>
      </c>
      <c r="N42" s="2"/>
      <c r="O42" s="2"/>
      <c r="P42" s="2" t="s">
        <v>22</v>
      </c>
      <c r="Q42" s="2"/>
      <c r="R42" s="2"/>
      <c r="S42" s="2" t="s">
        <v>23</v>
      </c>
      <c r="T42" s="2"/>
      <c r="U42" s="2"/>
    </row>
    <row r="43" spans="1:23" x14ac:dyDescent="0.35">
      <c r="A43" t="s">
        <v>1</v>
      </c>
      <c r="B43" t="s">
        <v>2</v>
      </c>
      <c r="C43" t="s">
        <v>3</v>
      </c>
      <c r="D43" t="s">
        <v>4</v>
      </c>
      <c r="E43" t="s">
        <v>5</v>
      </c>
      <c r="F43" t="s">
        <v>6</v>
      </c>
      <c r="G43" t="s">
        <v>7</v>
      </c>
      <c r="H43" t="s">
        <v>8</v>
      </c>
      <c r="I43" t="s">
        <v>9</v>
      </c>
      <c r="J43" t="s">
        <v>10</v>
      </c>
      <c r="L43" t="s">
        <v>1</v>
      </c>
      <c r="M43" t="s">
        <v>12</v>
      </c>
      <c r="N43" t="s">
        <v>13</v>
      </c>
      <c r="O43" t="s">
        <v>14</v>
      </c>
      <c r="P43" t="s">
        <v>15</v>
      </c>
      <c r="Q43" t="s">
        <v>16</v>
      </c>
      <c r="R43" t="s">
        <v>17</v>
      </c>
      <c r="S43" t="s">
        <v>18</v>
      </c>
      <c r="T43" t="s">
        <v>19</v>
      </c>
      <c r="U43" t="s">
        <v>20</v>
      </c>
      <c r="W43" t="s">
        <v>27</v>
      </c>
    </row>
    <row r="44" spans="1:23" x14ac:dyDescent="0.35">
      <c r="A44">
        <v>7</v>
      </c>
      <c r="B44">
        <v>97.487399999999994</v>
      </c>
      <c r="C44">
        <v>86.432199999999995</v>
      </c>
      <c r="D44">
        <v>93.567300000000003</v>
      </c>
      <c r="E44">
        <v>94.152000000000001</v>
      </c>
      <c r="F44">
        <v>92.982500000000002</v>
      </c>
      <c r="G44">
        <v>93.567300000000003</v>
      </c>
      <c r="H44">
        <v>67.496300000000005</v>
      </c>
      <c r="I44">
        <v>65.007300000000001</v>
      </c>
      <c r="J44">
        <v>70.424599999999998</v>
      </c>
      <c r="L44">
        <v>7</v>
      </c>
      <c r="M44">
        <v>7.9200000000000007E-2</v>
      </c>
      <c r="N44">
        <v>0.51800000000000002</v>
      </c>
      <c r="O44">
        <v>0.25650000000000001</v>
      </c>
      <c r="P44">
        <v>0.19389999999999999</v>
      </c>
      <c r="Q44">
        <v>0.47239999999999999</v>
      </c>
      <c r="R44">
        <v>0.51729999999999998</v>
      </c>
      <c r="S44">
        <v>0.67610000000000003</v>
      </c>
      <c r="T44">
        <v>0.67449999999999999</v>
      </c>
      <c r="U44">
        <v>0.66490000000000005</v>
      </c>
      <c r="W44">
        <v>1</v>
      </c>
    </row>
    <row r="45" spans="1:23" x14ac:dyDescent="0.35">
      <c r="A45">
        <v>7</v>
      </c>
      <c r="B45">
        <v>95.477400000000003</v>
      </c>
      <c r="C45">
        <v>78.894499999999994</v>
      </c>
      <c r="D45">
        <v>93.567300000000003</v>
      </c>
      <c r="E45">
        <v>97.660799999999995</v>
      </c>
      <c r="F45">
        <v>86.549700000000001</v>
      </c>
      <c r="G45">
        <v>93.567300000000003</v>
      </c>
      <c r="H45">
        <v>67.203500000000005</v>
      </c>
      <c r="I45">
        <v>65.007300000000001</v>
      </c>
      <c r="J45">
        <v>86.090800000000002</v>
      </c>
      <c r="L45">
        <v>7</v>
      </c>
      <c r="M45">
        <v>0.10290000000000001</v>
      </c>
      <c r="N45">
        <v>0.49509999999999998</v>
      </c>
      <c r="O45">
        <v>7.5899999999999995E-2</v>
      </c>
      <c r="P45">
        <v>7.6200000000000004E-2</v>
      </c>
      <c r="Q45">
        <v>0.42420000000000002</v>
      </c>
      <c r="R45">
        <v>0.13469999999999999</v>
      </c>
      <c r="S45">
        <v>0.60550000000000004</v>
      </c>
      <c r="T45">
        <v>0.67190000000000005</v>
      </c>
      <c r="U45">
        <v>0.67330000000000001</v>
      </c>
      <c r="W45">
        <v>2</v>
      </c>
    </row>
    <row r="46" spans="1:23" x14ac:dyDescent="0.35">
      <c r="A46">
        <v>7</v>
      </c>
      <c r="B46">
        <v>96.231200000000001</v>
      </c>
      <c r="C46">
        <v>89.195999999999998</v>
      </c>
      <c r="D46">
        <v>92.3977</v>
      </c>
      <c r="E46">
        <v>95.321600000000004</v>
      </c>
      <c r="F46">
        <v>88.888900000000007</v>
      </c>
      <c r="G46">
        <v>92.3977</v>
      </c>
      <c r="H46">
        <v>67.789199999999994</v>
      </c>
      <c r="I46">
        <v>65.007300000000001</v>
      </c>
      <c r="J46">
        <v>88.140600000000006</v>
      </c>
      <c r="L46">
        <v>7</v>
      </c>
      <c r="M46">
        <v>0.10199999999999999</v>
      </c>
      <c r="N46">
        <v>0.35770000000000002</v>
      </c>
      <c r="O46">
        <v>0.2913</v>
      </c>
      <c r="P46">
        <v>0.1177</v>
      </c>
      <c r="Q46">
        <v>0.32990000000000003</v>
      </c>
      <c r="R46">
        <v>0.28410000000000002</v>
      </c>
      <c r="S46">
        <v>0.64200000000000002</v>
      </c>
      <c r="T46">
        <v>0.66749999999999998</v>
      </c>
      <c r="U46">
        <v>0.67649999999999999</v>
      </c>
      <c r="W46">
        <v>3</v>
      </c>
    </row>
    <row r="47" spans="1:23" x14ac:dyDescent="0.35">
      <c r="A47">
        <v>7</v>
      </c>
      <c r="B47">
        <v>95.477400000000003</v>
      </c>
      <c r="C47">
        <v>80.904499999999999</v>
      </c>
      <c r="D47">
        <v>93.567300000000003</v>
      </c>
      <c r="E47">
        <v>96.491200000000006</v>
      </c>
      <c r="F47">
        <v>91.812899999999999</v>
      </c>
      <c r="G47">
        <v>93.567300000000003</v>
      </c>
      <c r="H47">
        <v>65.3001</v>
      </c>
      <c r="I47">
        <v>65.007300000000001</v>
      </c>
      <c r="J47">
        <v>84.187399999999997</v>
      </c>
      <c r="L47">
        <v>7</v>
      </c>
      <c r="M47">
        <v>0.10489999999999999</v>
      </c>
      <c r="N47">
        <v>0.51959999999999995</v>
      </c>
      <c r="O47">
        <v>0.58520000000000005</v>
      </c>
      <c r="P47">
        <v>8.14E-2</v>
      </c>
      <c r="Q47">
        <v>0.40110000000000001</v>
      </c>
      <c r="R47">
        <v>9.1399999999999995E-2</v>
      </c>
      <c r="S47">
        <v>0.81020000000000003</v>
      </c>
      <c r="T47">
        <v>0.66520000000000001</v>
      </c>
      <c r="U47">
        <v>0.67369999999999997</v>
      </c>
      <c r="W47">
        <v>4</v>
      </c>
    </row>
    <row r="48" spans="1:23" x14ac:dyDescent="0.35">
      <c r="A48">
        <v>7</v>
      </c>
      <c r="B48">
        <v>95.979900000000001</v>
      </c>
      <c r="C48">
        <v>84.4221</v>
      </c>
      <c r="D48">
        <v>92.982500000000002</v>
      </c>
      <c r="E48">
        <v>95.906400000000005</v>
      </c>
      <c r="F48">
        <v>92.982500000000002</v>
      </c>
      <c r="G48">
        <v>92.982500000000002</v>
      </c>
      <c r="H48">
        <v>76.720399999999998</v>
      </c>
      <c r="I48">
        <v>65.007300000000001</v>
      </c>
      <c r="J48">
        <v>36.456800000000001</v>
      </c>
      <c r="L48">
        <v>7</v>
      </c>
      <c r="M48">
        <v>0.1022</v>
      </c>
      <c r="N48">
        <v>0.52059999999999995</v>
      </c>
      <c r="O48">
        <v>0.1318</v>
      </c>
      <c r="P48">
        <v>0.12479999999999999</v>
      </c>
      <c r="Q48">
        <v>0.44569999999999999</v>
      </c>
      <c r="R48">
        <v>0.29299999999999998</v>
      </c>
      <c r="S48">
        <v>0.51719999999999999</v>
      </c>
      <c r="T48">
        <v>0.66849999999999998</v>
      </c>
      <c r="U48">
        <v>0.68579999999999997</v>
      </c>
      <c r="W48">
        <v>5</v>
      </c>
    </row>
    <row r="49" spans="1:23" x14ac:dyDescent="0.35">
      <c r="A49">
        <v>7</v>
      </c>
      <c r="B49">
        <v>96.482399999999998</v>
      </c>
      <c r="C49">
        <v>86.180899999999994</v>
      </c>
      <c r="D49">
        <v>94.152000000000001</v>
      </c>
      <c r="E49">
        <v>95.321600000000004</v>
      </c>
      <c r="F49">
        <v>93.567300000000003</v>
      </c>
      <c r="G49">
        <v>94.152000000000001</v>
      </c>
      <c r="H49">
        <v>66.325000000000003</v>
      </c>
      <c r="I49">
        <v>66.178600000000003</v>
      </c>
      <c r="J49">
        <v>87.115700000000004</v>
      </c>
      <c r="L49">
        <v>7</v>
      </c>
      <c r="M49">
        <v>8.7900000000000006E-2</v>
      </c>
      <c r="N49">
        <v>0.40770000000000001</v>
      </c>
      <c r="O49">
        <v>0.18160000000000001</v>
      </c>
      <c r="P49">
        <v>0.13600000000000001</v>
      </c>
      <c r="Q49">
        <v>0.28620000000000001</v>
      </c>
      <c r="R49">
        <v>0.2031</v>
      </c>
      <c r="S49">
        <v>0.69</v>
      </c>
      <c r="T49">
        <v>0.66859999999999997</v>
      </c>
      <c r="U49">
        <v>0.67659999999999998</v>
      </c>
      <c r="W49">
        <v>6</v>
      </c>
    </row>
    <row r="50" spans="1:23" x14ac:dyDescent="0.35">
      <c r="A50">
        <v>7</v>
      </c>
      <c r="B50">
        <v>96.231200000000001</v>
      </c>
      <c r="C50">
        <v>89.195999999999998</v>
      </c>
      <c r="D50">
        <v>91.228099999999998</v>
      </c>
      <c r="E50">
        <v>93.567300000000003</v>
      </c>
      <c r="F50">
        <v>91.228099999999998</v>
      </c>
      <c r="G50">
        <v>91.228099999999998</v>
      </c>
      <c r="H50">
        <v>65.3001</v>
      </c>
      <c r="I50">
        <v>65.007300000000001</v>
      </c>
      <c r="J50">
        <v>86.383600000000001</v>
      </c>
      <c r="L50">
        <v>7</v>
      </c>
      <c r="M50">
        <v>9.9400000000000002E-2</v>
      </c>
      <c r="N50">
        <v>0.41010000000000002</v>
      </c>
      <c r="O50">
        <v>0.17799999999999999</v>
      </c>
      <c r="P50">
        <v>0.1323</v>
      </c>
      <c r="Q50">
        <v>0.3745</v>
      </c>
      <c r="R50">
        <v>8.1600000000000006E-2</v>
      </c>
      <c r="S50">
        <v>0.71519999999999995</v>
      </c>
      <c r="T50">
        <v>0.66969999999999996</v>
      </c>
      <c r="U50">
        <v>0.67479999999999996</v>
      </c>
      <c r="W50">
        <v>7</v>
      </c>
    </row>
    <row r="51" spans="1:23" x14ac:dyDescent="0.35">
      <c r="A51">
        <v>7</v>
      </c>
      <c r="B51">
        <v>95.979900000000001</v>
      </c>
      <c r="C51">
        <v>89.195999999999998</v>
      </c>
      <c r="D51">
        <v>90.643299999999996</v>
      </c>
      <c r="E51">
        <v>96.491200000000006</v>
      </c>
      <c r="F51">
        <v>88.304100000000005</v>
      </c>
      <c r="G51">
        <v>90.643299999999996</v>
      </c>
      <c r="H51">
        <v>69.985399999999998</v>
      </c>
      <c r="I51">
        <v>65.007300000000001</v>
      </c>
      <c r="J51">
        <v>33.967799999999997</v>
      </c>
      <c r="L51">
        <v>7</v>
      </c>
      <c r="M51">
        <v>0.10290000000000001</v>
      </c>
      <c r="N51">
        <v>0.39</v>
      </c>
      <c r="O51">
        <v>0.37290000000000001</v>
      </c>
      <c r="P51">
        <v>0.1129</v>
      </c>
      <c r="Q51">
        <v>0.37519999999999998</v>
      </c>
      <c r="R51">
        <v>0.21099999999999999</v>
      </c>
      <c r="S51">
        <v>0.57020000000000004</v>
      </c>
      <c r="T51">
        <v>0.6653</v>
      </c>
      <c r="U51">
        <v>0.68230000000000002</v>
      </c>
      <c r="W51">
        <v>8</v>
      </c>
    </row>
    <row r="52" spans="1:23" x14ac:dyDescent="0.35">
      <c r="A52">
        <v>7</v>
      </c>
      <c r="B52">
        <v>96.733699999999999</v>
      </c>
      <c r="C52">
        <v>90.703500000000005</v>
      </c>
      <c r="D52">
        <v>93.567300000000003</v>
      </c>
      <c r="E52">
        <v>96.491200000000006</v>
      </c>
      <c r="F52">
        <v>92.982500000000002</v>
      </c>
      <c r="G52">
        <v>93.567300000000003</v>
      </c>
      <c r="H52">
        <v>68.374799999999993</v>
      </c>
      <c r="I52">
        <v>65.007300000000001</v>
      </c>
      <c r="J52">
        <v>66.032200000000003</v>
      </c>
      <c r="L52">
        <v>7</v>
      </c>
      <c r="M52">
        <v>9.8299999999999998E-2</v>
      </c>
      <c r="N52">
        <v>0.34410000000000002</v>
      </c>
      <c r="O52">
        <v>0.49330000000000002</v>
      </c>
      <c r="P52">
        <v>0.106</v>
      </c>
      <c r="Q52">
        <v>0.30470000000000003</v>
      </c>
      <c r="R52">
        <v>0.2029</v>
      </c>
      <c r="S52">
        <v>0.64790000000000003</v>
      </c>
      <c r="T52">
        <v>0.66820000000000002</v>
      </c>
      <c r="U52">
        <v>0.66890000000000005</v>
      </c>
      <c r="W52">
        <v>9</v>
      </c>
    </row>
    <row r="53" spans="1:23" ht="15" thickBot="1" x14ac:dyDescent="0.4">
      <c r="A53" s="3">
        <v>7</v>
      </c>
      <c r="B53" s="3">
        <v>96.733699999999999</v>
      </c>
      <c r="C53" s="3">
        <v>81.909499999999994</v>
      </c>
      <c r="D53" s="3">
        <v>91.228099999999998</v>
      </c>
      <c r="E53" s="3">
        <v>94.736800000000002</v>
      </c>
      <c r="F53" s="3">
        <v>88.888900000000007</v>
      </c>
      <c r="G53" s="3">
        <v>91.228099999999998</v>
      </c>
      <c r="H53" s="3">
        <v>66.325000000000003</v>
      </c>
      <c r="I53" s="3">
        <v>65.007300000000001</v>
      </c>
      <c r="J53" s="3">
        <v>73.06</v>
      </c>
      <c r="L53" s="3">
        <v>7</v>
      </c>
      <c r="M53" s="3">
        <v>0.1014</v>
      </c>
      <c r="N53" s="3">
        <v>0.54269999999999996</v>
      </c>
      <c r="O53" s="3">
        <v>0.1862</v>
      </c>
      <c r="P53" s="3">
        <v>0.13150000000000001</v>
      </c>
      <c r="Q53" s="3">
        <v>0.44280000000000003</v>
      </c>
      <c r="R53" s="3">
        <v>0.12559999999999999</v>
      </c>
      <c r="S53" s="3">
        <v>0.62060000000000004</v>
      </c>
      <c r="T53" s="3">
        <v>0.66890000000000005</v>
      </c>
      <c r="U53" s="3">
        <v>0.67449999999999999</v>
      </c>
      <c r="W53">
        <v>10</v>
      </c>
    </row>
    <row r="54" spans="1:23" ht="15" thickTop="1" x14ac:dyDescent="0.35">
      <c r="A54" t="s">
        <v>0</v>
      </c>
      <c r="B54">
        <f>AVERAGE(B44:B53)</f>
        <v>96.281419999999997</v>
      </c>
      <c r="C54">
        <f>AVERAGE(C44:C53)</f>
        <v>85.703519999999997</v>
      </c>
      <c r="D54">
        <f>AVERAGE(D44:D53)</f>
        <v>92.690090000000012</v>
      </c>
      <c r="E54">
        <f>AVERAGE(E44:E53)</f>
        <v>95.614010000000022</v>
      </c>
      <c r="F54">
        <f>AVERAGE(F44:F53)</f>
        <v>90.818740000000005</v>
      </c>
      <c r="G54">
        <f>AVERAGE(G44:G53)</f>
        <v>92.690090000000012</v>
      </c>
      <c r="H54">
        <f>AVERAGE(H44:H53)</f>
        <v>68.081980000000001</v>
      </c>
      <c r="I54">
        <f>AVERAGE(I44:I53)</f>
        <v>65.12442999999999</v>
      </c>
      <c r="J54">
        <f>AVERAGE(J44:J53)</f>
        <v>71.185950000000005</v>
      </c>
      <c r="L54" t="s">
        <v>0</v>
      </c>
      <c r="M54">
        <f>AVERAGE(M44:M53)</f>
        <v>9.8110000000000017E-2</v>
      </c>
      <c r="N54">
        <f>AVERAGE(N44:N53)</f>
        <v>0.45056000000000002</v>
      </c>
      <c r="O54">
        <f>AVERAGE(O44:O53)</f>
        <v>0.27527000000000001</v>
      </c>
      <c r="P54">
        <f>AVERAGE(P44:P53)</f>
        <v>0.12127000000000002</v>
      </c>
      <c r="Q54">
        <f>AVERAGE(Q44:Q53)</f>
        <v>0.38567000000000001</v>
      </c>
      <c r="R54">
        <f>AVERAGE(R44:R53)</f>
        <v>0.21446999999999999</v>
      </c>
      <c r="S54">
        <f>AVERAGE(S44:S53)</f>
        <v>0.6494899999999999</v>
      </c>
      <c r="T54">
        <f>AVERAGE(T44:T53)</f>
        <v>0.66882999999999992</v>
      </c>
      <c r="U54">
        <f>AVERAGE(U44:U53)</f>
        <v>0.67513000000000001</v>
      </c>
    </row>
    <row r="55" spans="1:23" x14ac:dyDescent="0.35">
      <c r="A55" t="s">
        <v>24</v>
      </c>
      <c r="B55">
        <f>STDEV(B44:B53)</f>
        <v>0.61315796007227774</v>
      </c>
      <c r="C55">
        <f t="shared" ref="C55:J55" si="12">STDEV(C44:C53)</f>
        <v>4.0521720808584751</v>
      </c>
      <c r="D55">
        <f t="shared" si="12"/>
        <v>1.2405350426776007</v>
      </c>
      <c r="E55">
        <f t="shared" si="12"/>
        <v>1.2405298047832445</v>
      </c>
      <c r="F55">
        <f t="shared" si="12"/>
        <v>2.4665037221856263</v>
      </c>
      <c r="G55">
        <f t="shared" si="12"/>
        <v>1.2405350426776007</v>
      </c>
      <c r="H55">
        <f t="shared" si="12"/>
        <v>3.3529951744008741</v>
      </c>
      <c r="I55">
        <f t="shared" si="12"/>
        <v>0.37039758233552295</v>
      </c>
      <c r="J55">
        <f t="shared" si="12"/>
        <v>20.50835959165325</v>
      </c>
      <c r="L55" t="s">
        <v>24</v>
      </c>
      <c r="M55">
        <f>STDEV(M44:M53)</f>
        <v>8.152770490248493E-3</v>
      </c>
      <c r="N55">
        <f>STDEV(N44:N53)</f>
        <v>7.5859580805590507E-2</v>
      </c>
      <c r="O55">
        <f>STDEV(O44:O53)</f>
        <v>0.16337944961210871</v>
      </c>
      <c r="P55">
        <f>STDEV(P44:P53)</f>
        <v>3.2774924357909102E-2</v>
      </c>
      <c r="Q55">
        <f>STDEV(Q44:Q53)</f>
        <v>6.3164055354995197E-2</v>
      </c>
      <c r="R55">
        <f>STDEV(R44:R53)</f>
        <v>0.12912452258704912</v>
      </c>
      <c r="S55">
        <f>STDEV(S44:S53)</f>
        <v>8.1042231103433088E-2</v>
      </c>
      <c r="T55">
        <f>STDEV(T44:T53)</f>
        <v>2.794856386690062E-3</v>
      </c>
      <c r="U55">
        <f>STDEV(U44:U53)</f>
        <v>5.9503594662656768E-3</v>
      </c>
    </row>
    <row r="56" spans="1:23" x14ac:dyDescent="0.35">
      <c r="A56" t="s">
        <v>25</v>
      </c>
      <c r="B56">
        <f>_xlfn.CONFIDENCE.NORM(0.05,B55,$B$1)</f>
        <v>0.33331033918552722</v>
      </c>
      <c r="C56">
        <f t="shared" ref="C56:J56" si="13">_xlfn.CONFIDENCE.NORM(0.05,C55,$B$1)</f>
        <v>2.2027453587161334</v>
      </c>
      <c r="D56">
        <f t="shared" si="13"/>
        <v>0.67435013939583055</v>
      </c>
      <c r="E56">
        <f t="shared" si="13"/>
        <v>0.6743472920963447</v>
      </c>
      <c r="F56">
        <f t="shared" si="13"/>
        <v>1.340782059075198</v>
      </c>
      <c r="G56">
        <f t="shared" si="13"/>
        <v>0.67435013939583055</v>
      </c>
      <c r="H56">
        <f t="shared" si="13"/>
        <v>1.8226754468542699</v>
      </c>
      <c r="I56">
        <f t="shared" si="13"/>
        <v>0.20134671950960162</v>
      </c>
      <c r="J56">
        <f t="shared" si="13"/>
        <v>11.148266412176945</v>
      </c>
      <c r="L56" t="s">
        <v>25</v>
      </c>
      <c r="M56">
        <f t="shared" ref="M56" si="14">_xlfn.CONFIDENCE.NORM(0.05,M55,$B$1)</f>
        <v>4.4318150857670683E-3</v>
      </c>
      <c r="N56">
        <f t="shared" ref="N56" si="15">_xlfn.CONFIDENCE.NORM(0.05,N55,$B$1)</f>
        <v>4.1236980118145687E-2</v>
      </c>
      <c r="O56">
        <f t="shared" ref="O56" si="16">_xlfn.CONFIDENCE.NORM(0.05,O55,$B$1)</f>
        <v>8.8812448524255558E-2</v>
      </c>
      <c r="P56">
        <f t="shared" ref="P56" si="17">_xlfn.CONFIDENCE.NORM(0.05,P55,$B$1)</f>
        <v>1.7816324447988831E-2</v>
      </c>
      <c r="Q56">
        <f t="shared" ref="Q56" si="18">_xlfn.CONFIDENCE.NORM(0.05,Q55,$B$1)</f>
        <v>3.4335740682914985E-2</v>
      </c>
      <c r="R56">
        <f t="shared" ref="R56" si="19">_xlfn.CONFIDENCE.NORM(0.05,R55,$B$1)</f>
        <v>7.0191600245367969E-2</v>
      </c>
      <c r="S56">
        <f t="shared" ref="S56" si="20">_xlfn.CONFIDENCE.NORM(0.05,S55,$B$1)</f>
        <v>4.4054249143651379E-2</v>
      </c>
      <c r="T56">
        <f t="shared" ref="T56" si="21">_xlfn.CONFIDENCE.NORM(0.05,T55,$B$1)</f>
        <v>1.5192733208791614E-3</v>
      </c>
      <c r="U56">
        <f t="shared" ref="U56" si="22">_xlfn.CONFIDENCE.NORM(0.05,U55,$B$1)</f>
        <v>3.2345928147830558E-3</v>
      </c>
    </row>
    <row r="59" spans="1:23" x14ac:dyDescent="0.35">
      <c r="B59" s="2" t="s">
        <v>11</v>
      </c>
      <c r="C59" s="2"/>
      <c r="D59" s="2"/>
      <c r="E59" s="2"/>
      <c r="F59" s="2"/>
      <c r="G59" s="2"/>
      <c r="H59" s="2"/>
      <c r="I59" s="2"/>
      <c r="J59" s="2"/>
      <c r="M59" s="2" t="s">
        <v>28</v>
      </c>
      <c r="N59" s="2"/>
      <c r="O59" s="2"/>
      <c r="P59" s="2"/>
      <c r="Q59" s="2"/>
      <c r="R59" s="2"/>
      <c r="S59" s="2"/>
      <c r="T59" s="2"/>
      <c r="U59" s="2"/>
    </row>
    <row r="60" spans="1:23" x14ac:dyDescent="0.35">
      <c r="B60" s="2" t="s">
        <v>21</v>
      </c>
      <c r="C60" s="2"/>
      <c r="D60" s="2"/>
      <c r="E60" s="2" t="s">
        <v>22</v>
      </c>
      <c r="F60" s="2"/>
      <c r="G60" s="2"/>
      <c r="H60" s="2" t="s">
        <v>23</v>
      </c>
      <c r="I60" s="2"/>
      <c r="J60" s="2"/>
      <c r="M60" s="2" t="s">
        <v>21</v>
      </c>
      <c r="N60" s="2"/>
      <c r="O60" s="2"/>
      <c r="P60" s="2" t="s">
        <v>22</v>
      </c>
      <c r="Q60" s="2"/>
      <c r="R60" s="2"/>
      <c r="S60" s="2" t="s">
        <v>23</v>
      </c>
      <c r="T60" s="2"/>
      <c r="U60" s="2"/>
    </row>
    <row r="61" spans="1:23" x14ac:dyDescent="0.35">
      <c r="A61" t="s">
        <v>1</v>
      </c>
      <c r="B61" t="s">
        <v>2</v>
      </c>
      <c r="C61" t="s">
        <v>3</v>
      </c>
      <c r="D61" t="s">
        <v>4</v>
      </c>
      <c r="E61" t="s">
        <v>5</v>
      </c>
      <c r="F61" t="s">
        <v>6</v>
      </c>
      <c r="G61" t="s">
        <v>7</v>
      </c>
      <c r="H61" t="s">
        <v>8</v>
      </c>
      <c r="I61" t="s">
        <v>9</v>
      </c>
      <c r="J61" t="s">
        <v>10</v>
      </c>
      <c r="L61" t="s">
        <v>1</v>
      </c>
      <c r="M61" t="s">
        <v>12</v>
      </c>
      <c r="N61" t="s">
        <v>13</v>
      </c>
      <c r="O61" t="s">
        <v>14</v>
      </c>
      <c r="P61" t="s">
        <v>15</v>
      </c>
      <c r="Q61" t="s">
        <v>16</v>
      </c>
      <c r="R61" t="s">
        <v>17</v>
      </c>
      <c r="S61" t="s">
        <v>18</v>
      </c>
      <c r="T61" t="s">
        <v>19</v>
      </c>
      <c r="U61" t="s">
        <v>20</v>
      </c>
      <c r="W61" t="s">
        <v>27</v>
      </c>
    </row>
    <row r="62" spans="1:23" x14ac:dyDescent="0.35">
      <c r="A62">
        <v>6</v>
      </c>
      <c r="B62">
        <v>96.733699999999999</v>
      </c>
      <c r="C62">
        <v>85.929699999999997</v>
      </c>
      <c r="D62">
        <v>94.736800000000002</v>
      </c>
      <c r="E62">
        <v>95.906400000000005</v>
      </c>
      <c r="F62">
        <v>87.134500000000003</v>
      </c>
      <c r="G62">
        <v>94.736800000000002</v>
      </c>
      <c r="H62">
        <v>69.399699999999996</v>
      </c>
      <c r="I62">
        <v>65.007300000000001</v>
      </c>
      <c r="J62">
        <v>74.816999999999993</v>
      </c>
      <c r="L62">
        <v>6</v>
      </c>
      <c r="M62">
        <v>0.1052</v>
      </c>
      <c r="N62">
        <v>0.42880000000000001</v>
      </c>
      <c r="O62">
        <v>0.24460000000000001</v>
      </c>
      <c r="P62">
        <v>9.11E-2</v>
      </c>
      <c r="Q62">
        <v>0.40460000000000002</v>
      </c>
      <c r="R62">
        <v>0.35120000000000001</v>
      </c>
      <c r="S62">
        <v>0.57889999999999997</v>
      </c>
      <c r="T62">
        <v>0.67159999999999997</v>
      </c>
      <c r="U62">
        <v>0.66239999999999999</v>
      </c>
      <c r="W62">
        <v>1</v>
      </c>
    </row>
    <row r="63" spans="1:23" x14ac:dyDescent="0.35">
      <c r="A63">
        <v>6</v>
      </c>
      <c r="B63">
        <v>96.231200000000001</v>
      </c>
      <c r="C63">
        <v>90.703500000000005</v>
      </c>
      <c r="D63">
        <v>93.567300000000003</v>
      </c>
      <c r="E63">
        <v>96.491200000000006</v>
      </c>
      <c r="F63">
        <v>95.321600000000004</v>
      </c>
      <c r="G63">
        <v>93.567300000000003</v>
      </c>
      <c r="H63">
        <v>68.081999999999994</v>
      </c>
      <c r="I63">
        <v>65.007300000000001</v>
      </c>
      <c r="J63">
        <v>74.377700000000004</v>
      </c>
      <c r="L63">
        <v>6</v>
      </c>
      <c r="M63">
        <v>0.1055</v>
      </c>
      <c r="N63">
        <v>0.31490000000000001</v>
      </c>
      <c r="O63">
        <v>0.38119999999999998</v>
      </c>
      <c r="P63">
        <v>9.1800000000000007E-2</v>
      </c>
      <c r="Q63">
        <v>0.27629999999999999</v>
      </c>
      <c r="R63">
        <v>8.8300000000000003E-2</v>
      </c>
      <c r="S63">
        <v>0.63219999999999998</v>
      </c>
      <c r="T63">
        <v>0.66559999999999997</v>
      </c>
      <c r="U63">
        <v>0.66320000000000001</v>
      </c>
      <c r="W63">
        <v>2</v>
      </c>
    </row>
    <row r="64" spans="1:23" x14ac:dyDescent="0.35">
      <c r="A64">
        <v>6</v>
      </c>
      <c r="B64">
        <v>96.231200000000001</v>
      </c>
      <c r="C64">
        <v>91.959800000000001</v>
      </c>
      <c r="D64">
        <v>92.3977</v>
      </c>
      <c r="E64">
        <v>94.736800000000002</v>
      </c>
      <c r="F64">
        <v>92.3977</v>
      </c>
      <c r="G64">
        <v>92.3977</v>
      </c>
      <c r="H64">
        <v>68.228399999999993</v>
      </c>
      <c r="I64">
        <v>66.178600000000003</v>
      </c>
      <c r="J64">
        <v>65.007300000000001</v>
      </c>
      <c r="L64">
        <v>6</v>
      </c>
      <c r="M64">
        <v>9.9400000000000002E-2</v>
      </c>
      <c r="N64">
        <v>0.32</v>
      </c>
      <c r="O64">
        <v>0.1207</v>
      </c>
      <c r="P64">
        <v>0.13650000000000001</v>
      </c>
      <c r="Q64">
        <v>0.29360000000000003</v>
      </c>
      <c r="R64">
        <v>0.18859999999999999</v>
      </c>
      <c r="S64">
        <v>0.60570000000000002</v>
      </c>
      <c r="T64">
        <v>0.66539999999999999</v>
      </c>
      <c r="U64">
        <v>0.65910000000000002</v>
      </c>
      <c r="W64">
        <v>3</v>
      </c>
    </row>
    <row r="65" spans="1:23" x14ac:dyDescent="0.35">
      <c r="A65">
        <v>6</v>
      </c>
      <c r="B65">
        <v>96.231200000000001</v>
      </c>
      <c r="C65">
        <v>73.869299999999996</v>
      </c>
      <c r="D65">
        <v>93.567300000000003</v>
      </c>
      <c r="E65">
        <v>96.491200000000006</v>
      </c>
      <c r="F65">
        <v>89.473699999999994</v>
      </c>
      <c r="G65">
        <v>93.567300000000003</v>
      </c>
      <c r="H65">
        <v>67.642799999999994</v>
      </c>
      <c r="I65">
        <v>65.007300000000001</v>
      </c>
      <c r="J65">
        <v>81.698400000000007</v>
      </c>
      <c r="L65">
        <v>6</v>
      </c>
      <c r="M65">
        <v>0.1101</v>
      </c>
      <c r="N65">
        <v>0.62019999999999997</v>
      </c>
      <c r="O65">
        <v>0.2074</v>
      </c>
      <c r="P65">
        <v>9.3200000000000005E-2</v>
      </c>
      <c r="Q65">
        <v>0.50090000000000001</v>
      </c>
      <c r="R65">
        <v>0.1956</v>
      </c>
      <c r="S65">
        <v>0.6411</v>
      </c>
      <c r="T65">
        <v>0.67210000000000003</v>
      </c>
      <c r="U65">
        <v>0.66449999999999998</v>
      </c>
      <c r="W65">
        <v>4</v>
      </c>
    </row>
    <row r="66" spans="1:23" x14ac:dyDescent="0.35">
      <c r="A66">
        <v>6</v>
      </c>
      <c r="B66">
        <v>95.7286</v>
      </c>
      <c r="C66">
        <v>44.974899999999998</v>
      </c>
      <c r="D66">
        <v>89.473699999999994</v>
      </c>
      <c r="E66">
        <v>95.321600000000004</v>
      </c>
      <c r="F66">
        <v>66.081900000000005</v>
      </c>
      <c r="G66">
        <v>89.473699999999994</v>
      </c>
      <c r="H66">
        <v>67.496300000000005</v>
      </c>
      <c r="I66">
        <v>65.007300000000001</v>
      </c>
      <c r="J66">
        <v>86.969300000000004</v>
      </c>
      <c r="L66">
        <v>6</v>
      </c>
      <c r="M66">
        <v>0.11020000000000001</v>
      </c>
      <c r="N66">
        <v>0.81659999999999999</v>
      </c>
      <c r="O66">
        <v>2.81E-2</v>
      </c>
      <c r="P66">
        <v>0.12509999999999999</v>
      </c>
      <c r="Q66">
        <v>0.746</v>
      </c>
      <c r="R66">
        <v>0.18160000000000001</v>
      </c>
      <c r="S66">
        <v>0.56179999999999997</v>
      </c>
      <c r="T66">
        <v>0.67400000000000004</v>
      </c>
      <c r="U66">
        <v>0.66690000000000005</v>
      </c>
      <c r="W66">
        <v>5</v>
      </c>
    </row>
    <row r="67" spans="1:23" x14ac:dyDescent="0.35">
      <c r="A67">
        <v>6</v>
      </c>
      <c r="B67">
        <v>95.477400000000003</v>
      </c>
      <c r="C67">
        <v>72.8643</v>
      </c>
      <c r="D67">
        <v>94.152000000000001</v>
      </c>
      <c r="E67">
        <v>97.660799999999995</v>
      </c>
      <c r="F67">
        <v>91.228099999999998</v>
      </c>
      <c r="G67">
        <v>94.152000000000001</v>
      </c>
      <c r="H67">
        <v>68.960499999999996</v>
      </c>
      <c r="I67">
        <v>65.007300000000001</v>
      </c>
      <c r="J67">
        <v>90.043899999999994</v>
      </c>
      <c r="L67">
        <v>6</v>
      </c>
      <c r="M67">
        <v>0.1154</v>
      </c>
      <c r="N67">
        <v>0.64370000000000005</v>
      </c>
      <c r="O67">
        <v>0.1145</v>
      </c>
      <c r="P67">
        <v>7.7299999999999994E-2</v>
      </c>
      <c r="Q67">
        <v>0.51200000000000001</v>
      </c>
      <c r="R67">
        <v>0.15290000000000001</v>
      </c>
      <c r="S67">
        <v>0.59499999999999997</v>
      </c>
      <c r="T67">
        <v>0.67889999999999995</v>
      </c>
      <c r="U67">
        <v>0.67800000000000005</v>
      </c>
      <c r="W67">
        <v>6</v>
      </c>
    </row>
    <row r="68" spans="1:23" x14ac:dyDescent="0.35">
      <c r="A68">
        <v>6</v>
      </c>
      <c r="B68">
        <v>96.231200000000001</v>
      </c>
      <c r="C68">
        <v>83.165800000000004</v>
      </c>
      <c r="D68">
        <v>91.812899999999999</v>
      </c>
      <c r="E68">
        <v>93.567300000000003</v>
      </c>
      <c r="F68">
        <v>89.473699999999994</v>
      </c>
      <c r="G68">
        <v>91.812899999999999</v>
      </c>
      <c r="H68">
        <v>69.838899999999995</v>
      </c>
      <c r="I68">
        <v>65.007300000000001</v>
      </c>
      <c r="J68">
        <v>85.651499999999999</v>
      </c>
      <c r="L68">
        <v>6</v>
      </c>
      <c r="M68">
        <v>8.8999999999999996E-2</v>
      </c>
      <c r="N68">
        <v>0.51490000000000002</v>
      </c>
      <c r="O68">
        <v>0.24990000000000001</v>
      </c>
      <c r="P68">
        <v>0.18310000000000001</v>
      </c>
      <c r="Q68">
        <v>0.44529999999999997</v>
      </c>
      <c r="R68">
        <v>5.91E-2</v>
      </c>
      <c r="S68">
        <v>0.62090000000000001</v>
      </c>
      <c r="T68">
        <v>0.66990000000000005</v>
      </c>
      <c r="U68">
        <v>0.67</v>
      </c>
      <c r="W68">
        <v>7</v>
      </c>
    </row>
    <row r="69" spans="1:23" x14ac:dyDescent="0.35">
      <c r="A69">
        <v>6</v>
      </c>
      <c r="B69">
        <v>95.226100000000002</v>
      </c>
      <c r="C69">
        <v>82.914599999999993</v>
      </c>
      <c r="D69">
        <v>92.982500000000002</v>
      </c>
      <c r="E69">
        <v>94.736800000000002</v>
      </c>
      <c r="F69">
        <v>90.643299999999996</v>
      </c>
      <c r="G69">
        <v>92.982500000000002</v>
      </c>
      <c r="H69">
        <v>65.007300000000001</v>
      </c>
      <c r="I69">
        <v>65.007300000000001</v>
      </c>
      <c r="J69">
        <v>75.402600000000007</v>
      </c>
      <c r="L69">
        <v>6</v>
      </c>
      <c r="M69">
        <v>0.122</v>
      </c>
      <c r="N69">
        <v>0.47070000000000001</v>
      </c>
      <c r="O69">
        <v>0.15890000000000001</v>
      </c>
      <c r="P69">
        <v>0.1053</v>
      </c>
      <c r="Q69">
        <v>0.40960000000000002</v>
      </c>
      <c r="R69">
        <v>0.1019</v>
      </c>
      <c r="S69">
        <v>0.82730000000000004</v>
      </c>
      <c r="T69">
        <v>0.67369999999999997</v>
      </c>
      <c r="U69">
        <v>0.66420000000000001</v>
      </c>
      <c r="W69">
        <v>8</v>
      </c>
    </row>
    <row r="70" spans="1:23" x14ac:dyDescent="0.35">
      <c r="A70">
        <v>6</v>
      </c>
      <c r="B70">
        <v>95.979900000000001</v>
      </c>
      <c r="C70">
        <v>88.944699999999997</v>
      </c>
      <c r="D70">
        <v>90.643299999999996</v>
      </c>
      <c r="E70">
        <v>94.736800000000002</v>
      </c>
      <c r="F70">
        <v>92.982500000000002</v>
      </c>
      <c r="G70">
        <v>90.643299999999996</v>
      </c>
      <c r="H70">
        <v>68.228399999999993</v>
      </c>
      <c r="I70">
        <v>65.007300000000001</v>
      </c>
      <c r="J70">
        <v>32.503700000000002</v>
      </c>
      <c r="L70">
        <v>6</v>
      </c>
      <c r="M70">
        <v>0.1062</v>
      </c>
      <c r="N70">
        <v>0.4471</v>
      </c>
      <c r="O70">
        <v>6.6600000000000006E-2</v>
      </c>
      <c r="P70">
        <v>0.15110000000000001</v>
      </c>
      <c r="Q70">
        <v>0.35170000000000001</v>
      </c>
      <c r="R70">
        <v>8.2500000000000004E-2</v>
      </c>
      <c r="S70">
        <v>0.57640000000000002</v>
      </c>
      <c r="T70">
        <v>0.67210000000000003</v>
      </c>
      <c r="U70">
        <v>0.7097</v>
      </c>
      <c r="W70">
        <v>9</v>
      </c>
    </row>
    <row r="71" spans="1:23" ht="15" thickBot="1" x14ac:dyDescent="0.4">
      <c r="A71" s="3">
        <v>6</v>
      </c>
      <c r="B71" s="3">
        <v>95.979900000000001</v>
      </c>
      <c r="C71" s="3">
        <v>80.150800000000004</v>
      </c>
      <c r="D71" s="3">
        <v>94.736800000000002</v>
      </c>
      <c r="E71" s="3">
        <v>96.491200000000006</v>
      </c>
      <c r="F71" s="3">
        <v>86.549700000000001</v>
      </c>
      <c r="G71" s="3">
        <v>94.736800000000002</v>
      </c>
      <c r="H71" s="3">
        <v>71.8887</v>
      </c>
      <c r="I71" s="3">
        <v>65.007300000000001</v>
      </c>
      <c r="J71" s="3">
        <v>73.206400000000002</v>
      </c>
      <c r="L71" s="3">
        <v>6</v>
      </c>
      <c r="M71" s="3">
        <v>0.1125</v>
      </c>
      <c r="N71" s="3">
        <v>0.4955</v>
      </c>
      <c r="O71" s="3">
        <v>0.1167</v>
      </c>
      <c r="P71" s="3">
        <v>9.5799999999999996E-2</v>
      </c>
      <c r="Q71" s="3">
        <v>0.46750000000000003</v>
      </c>
      <c r="R71" s="3">
        <v>0.15590000000000001</v>
      </c>
      <c r="S71" s="3">
        <v>0.58109999999999995</v>
      </c>
      <c r="T71" s="3">
        <v>0.67210000000000003</v>
      </c>
      <c r="U71" s="3">
        <v>0.66649999999999998</v>
      </c>
      <c r="W71">
        <v>10</v>
      </c>
    </row>
    <row r="72" spans="1:23" ht="15" thickTop="1" x14ac:dyDescent="0.35">
      <c r="A72" t="s">
        <v>0</v>
      </c>
      <c r="B72">
        <f>AVERAGE(B62:B71)</f>
        <v>96.005039999999994</v>
      </c>
      <c r="C72">
        <f>AVERAGE(C62:C71)</f>
        <v>79.547740000000005</v>
      </c>
      <c r="D72">
        <f>AVERAGE(D62:D71)</f>
        <v>92.807029999999997</v>
      </c>
      <c r="E72">
        <f>AVERAGE(E62:E71)</f>
        <v>95.614010000000007</v>
      </c>
      <c r="F72">
        <f>AVERAGE(F62:F71)</f>
        <v>88.12867</v>
      </c>
      <c r="G72">
        <f>AVERAGE(G62:G71)</f>
        <v>92.807029999999997</v>
      </c>
      <c r="H72">
        <f>AVERAGE(H62:H71)</f>
        <v>68.477299999999985</v>
      </c>
      <c r="I72">
        <f>AVERAGE(I62:I71)</f>
        <v>65.12442999999999</v>
      </c>
      <c r="J72">
        <f>AVERAGE(J62:J71)</f>
        <v>73.967780000000005</v>
      </c>
      <c r="L72" t="s">
        <v>0</v>
      </c>
      <c r="M72">
        <f>AVERAGE(M62:M71)</f>
        <v>0.10754999999999999</v>
      </c>
      <c r="N72">
        <f>AVERAGE(N62:N71)</f>
        <v>0.50723999999999991</v>
      </c>
      <c r="O72">
        <f>AVERAGE(O62:O71)</f>
        <v>0.16886000000000001</v>
      </c>
      <c r="P72">
        <f>AVERAGE(P62:P71)</f>
        <v>0.11503000000000001</v>
      </c>
      <c r="Q72">
        <f>AVERAGE(Q62:Q71)</f>
        <v>0.44075000000000009</v>
      </c>
      <c r="R72">
        <f>AVERAGE(R62:R71)</f>
        <v>0.15576000000000001</v>
      </c>
      <c r="S72">
        <f>AVERAGE(S62:S71)</f>
        <v>0.62204000000000004</v>
      </c>
      <c r="T72">
        <f>AVERAGE(T62:T71)</f>
        <v>0.67154000000000003</v>
      </c>
      <c r="U72">
        <f>AVERAGE(U62:U71)</f>
        <v>0.67044999999999999</v>
      </c>
    </row>
    <row r="73" spans="1:23" x14ac:dyDescent="0.35">
      <c r="A73" t="s">
        <v>24</v>
      </c>
      <c r="B73">
        <f>STDEV(B62:B71)</f>
        <v>0.43440551766497743</v>
      </c>
      <c r="C73">
        <f>STDEV(C62:C71)</f>
        <v>13.761970901420879</v>
      </c>
      <c r="D73">
        <f>STDEV(D62:D71)</f>
        <v>1.7445929605179824</v>
      </c>
      <c r="E73">
        <f>STDEV(E62:E71)</f>
        <v>1.2095107224273232</v>
      </c>
      <c r="F73">
        <f>STDEV(F62:F71)</f>
        <v>8.182719965071378</v>
      </c>
      <c r="G73">
        <f>STDEV(G62:G71)</f>
        <v>1.7445929605179824</v>
      </c>
      <c r="H73">
        <f>STDEV(H62:H71)</f>
        <v>1.7812518781276643</v>
      </c>
      <c r="I73">
        <f>STDEV(I62:I71)</f>
        <v>0.37039758233552295</v>
      </c>
      <c r="J73">
        <f>STDEV(J62:J71)</f>
        <v>16.420991661136359</v>
      </c>
      <c r="L73" t="s">
        <v>24</v>
      </c>
      <c r="M73">
        <f>STDEV(M62:M71)</f>
        <v>9.0094086623065603E-3</v>
      </c>
      <c r="N73">
        <f>STDEV(N62:N71)</f>
        <v>0.15291236560708785</v>
      </c>
      <c r="O73">
        <f>STDEV(O62:O71)</f>
        <v>0.10394570377525629</v>
      </c>
      <c r="P73">
        <f>STDEV(P62:P71)</f>
        <v>3.3289606319223536E-2</v>
      </c>
      <c r="Q73">
        <f>STDEV(Q62:Q71)</f>
        <v>0.13396201161357463</v>
      </c>
      <c r="R73">
        <f>STDEV(R62:R71)</f>
        <v>8.4129743716344366E-2</v>
      </c>
      <c r="S73">
        <f>STDEV(S62:S71)</f>
        <v>7.6627993144367315E-2</v>
      </c>
      <c r="T73">
        <f>STDEV(T62:T71)</f>
        <v>3.9651817949075971E-3</v>
      </c>
      <c r="U73">
        <f>STDEV(U62:U71)</f>
        <v>1.4706857810785642E-2</v>
      </c>
    </row>
    <row r="74" spans="1:23" x14ac:dyDescent="0.35">
      <c r="A74" t="s">
        <v>25</v>
      </c>
      <c r="B74">
        <f>_xlfn.CONFIDENCE.NORM(0.05,B73,$B$1)</f>
        <v>0.23614119014276586</v>
      </c>
      <c r="C74">
        <f t="shared" ref="C74:J74" si="23">_xlfn.CONFIDENCE.NORM(0.05,C73,$B$1)</f>
        <v>7.4809551334426825</v>
      </c>
      <c r="D74">
        <f t="shared" si="23"/>
        <v>0.94835410983229662</v>
      </c>
      <c r="E74">
        <f t="shared" si="23"/>
        <v>0.65748543669442316</v>
      </c>
      <c r="F74">
        <f t="shared" si="23"/>
        <v>4.4480955065748935</v>
      </c>
      <c r="G74">
        <f t="shared" si="23"/>
        <v>0.94835410983229662</v>
      </c>
      <c r="H74">
        <f t="shared" si="23"/>
        <v>0.96828175826601681</v>
      </c>
      <c r="I74">
        <f t="shared" si="23"/>
        <v>0.20134671950960162</v>
      </c>
      <c r="J74">
        <f t="shared" si="23"/>
        <v>8.9263887232107297</v>
      </c>
      <c r="L74" t="s">
        <v>25</v>
      </c>
      <c r="M74">
        <f t="shared" ref="M74" si="24">_xlfn.CONFIDENCE.NORM(0.05,M73,$B$1)</f>
        <v>4.897480343793381E-3</v>
      </c>
      <c r="N74">
        <f t="shared" ref="N74" si="25">_xlfn.CONFIDENCE.NORM(0.05,N73,$B$1)</f>
        <v>8.3122581398359222E-2</v>
      </c>
      <c r="O74">
        <f t="shared" ref="O74" si="26">_xlfn.CONFIDENCE.NORM(0.05,O73,$B$1)</f>
        <v>5.6504489932944844E-2</v>
      </c>
      <c r="P74">
        <f t="shared" ref="P74" si="27">_xlfn.CONFIDENCE.NORM(0.05,P73,$B$1)</f>
        <v>1.8096103608122648E-2</v>
      </c>
      <c r="Q74">
        <f t="shared" ref="Q74" si="28">_xlfn.CONFIDENCE.NORM(0.05,Q73,$B$1)</f>
        <v>7.2821240914221749E-2</v>
      </c>
      <c r="R74">
        <f t="shared" ref="R74" si="29">_xlfn.CONFIDENCE.NORM(0.05,R73,$B$1)</f>
        <v>4.5732609278008506E-2</v>
      </c>
      <c r="S74">
        <f t="shared" ref="S74" si="30">_xlfn.CONFIDENCE.NORM(0.05,S73,$B$1)</f>
        <v>4.1654686148157677E-2</v>
      </c>
      <c r="T74">
        <f t="shared" ref="T74" si="31">_xlfn.CONFIDENCE.NORM(0.05,T73,$B$1)</f>
        <v>2.15545776953974E-3</v>
      </c>
      <c r="U74">
        <f t="shared" ref="U74" si="32">_xlfn.CONFIDENCE.NORM(0.05,U73,$B$1)</f>
        <v>7.9945920700245851E-3</v>
      </c>
    </row>
    <row r="77" spans="1:23" x14ac:dyDescent="0.35">
      <c r="B77" s="2" t="s">
        <v>11</v>
      </c>
      <c r="C77" s="2"/>
      <c r="D77" s="2"/>
      <c r="E77" s="2"/>
      <c r="F77" s="2"/>
      <c r="G77" s="2"/>
      <c r="H77" s="2"/>
      <c r="I77" s="2"/>
      <c r="J77" s="2"/>
      <c r="M77" s="2" t="s">
        <v>28</v>
      </c>
      <c r="N77" s="2"/>
      <c r="O77" s="2"/>
      <c r="P77" s="2"/>
      <c r="Q77" s="2"/>
      <c r="R77" s="2"/>
      <c r="S77" s="2"/>
      <c r="T77" s="2"/>
      <c r="U77" s="2"/>
    </row>
    <row r="78" spans="1:23" x14ac:dyDescent="0.35">
      <c r="B78" s="2" t="s">
        <v>21</v>
      </c>
      <c r="C78" s="2"/>
      <c r="D78" s="2"/>
      <c r="E78" s="2" t="s">
        <v>22</v>
      </c>
      <c r="F78" s="2"/>
      <c r="G78" s="2"/>
      <c r="H78" s="2" t="s">
        <v>23</v>
      </c>
      <c r="I78" s="2"/>
      <c r="J78" s="2"/>
      <c r="M78" s="2" t="s">
        <v>21</v>
      </c>
      <c r="N78" s="2"/>
      <c r="O78" s="2"/>
      <c r="P78" s="2" t="s">
        <v>22</v>
      </c>
      <c r="Q78" s="2"/>
      <c r="R78" s="2"/>
      <c r="S78" s="2" t="s">
        <v>23</v>
      </c>
      <c r="T78" s="2"/>
      <c r="U78" s="2"/>
    </row>
    <row r="79" spans="1:23" x14ac:dyDescent="0.35">
      <c r="A79" t="s">
        <v>1</v>
      </c>
      <c r="B79" t="s">
        <v>2</v>
      </c>
      <c r="C79" t="s">
        <v>3</v>
      </c>
      <c r="D79" t="s">
        <v>4</v>
      </c>
      <c r="E79" t="s">
        <v>5</v>
      </c>
      <c r="F79" t="s">
        <v>6</v>
      </c>
      <c r="G79" t="s">
        <v>7</v>
      </c>
      <c r="H79" t="s">
        <v>8</v>
      </c>
      <c r="I79" t="s">
        <v>9</v>
      </c>
      <c r="J79" t="s">
        <v>10</v>
      </c>
      <c r="L79" t="s">
        <v>1</v>
      </c>
      <c r="M79" t="s">
        <v>12</v>
      </c>
      <c r="N79" t="s">
        <v>13</v>
      </c>
      <c r="O79" t="s">
        <v>14</v>
      </c>
      <c r="P79" t="s">
        <v>15</v>
      </c>
      <c r="Q79" t="s">
        <v>16</v>
      </c>
      <c r="R79" t="s">
        <v>17</v>
      </c>
      <c r="S79" t="s">
        <v>18</v>
      </c>
      <c r="T79" t="s">
        <v>19</v>
      </c>
      <c r="U79" t="s">
        <v>20</v>
      </c>
      <c r="W79" t="s">
        <v>27</v>
      </c>
    </row>
    <row r="80" spans="1:23" x14ac:dyDescent="0.35">
      <c r="A80">
        <v>5</v>
      </c>
      <c r="B80">
        <v>95.226100000000002</v>
      </c>
      <c r="C80">
        <v>81.155799999999999</v>
      </c>
      <c r="D80">
        <v>92.982500000000002</v>
      </c>
      <c r="E80">
        <v>94.736800000000002</v>
      </c>
      <c r="F80">
        <v>90.643299999999996</v>
      </c>
      <c r="G80">
        <v>92.982500000000002</v>
      </c>
      <c r="H80">
        <v>71.5959</v>
      </c>
      <c r="I80">
        <v>65.007300000000001</v>
      </c>
      <c r="J80">
        <v>66.178600000000003</v>
      </c>
      <c r="L80">
        <v>5</v>
      </c>
      <c r="M80">
        <v>0.1031</v>
      </c>
      <c r="N80">
        <v>0.56740000000000002</v>
      </c>
      <c r="O80">
        <v>0.19650000000000001</v>
      </c>
      <c r="P80">
        <v>0.14630000000000001</v>
      </c>
      <c r="Q80">
        <v>0.50539999999999996</v>
      </c>
      <c r="R80">
        <v>0.1444</v>
      </c>
      <c r="S80">
        <v>0.56440000000000001</v>
      </c>
      <c r="T80">
        <v>0.67310000000000003</v>
      </c>
      <c r="U80">
        <v>0.65769999999999995</v>
      </c>
      <c r="W80">
        <v>1</v>
      </c>
    </row>
    <row r="81" spans="1:23" x14ac:dyDescent="0.35">
      <c r="A81">
        <v>5</v>
      </c>
      <c r="B81">
        <v>95.477400000000003</v>
      </c>
      <c r="C81">
        <v>90.452299999999994</v>
      </c>
      <c r="D81">
        <v>90.058499999999995</v>
      </c>
      <c r="E81">
        <v>94.736800000000002</v>
      </c>
      <c r="F81">
        <v>87.134500000000003</v>
      </c>
      <c r="G81">
        <v>90.058499999999995</v>
      </c>
      <c r="H81">
        <v>67.642799999999994</v>
      </c>
      <c r="I81">
        <v>65.007300000000001</v>
      </c>
      <c r="J81">
        <v>65.007300000000001</v>
      </c>
      <c r="L81">
        <v>5</v>
      </c>
      <c r="M81">
        <v>0.12820000000000001</v>
      </c>
      <c r="N81">
        <v>0.39129999999999998</v>
      </c>
      <c r="O81">
        <v>0.26200000000000001</v>
      </c>
      <c r="P81">
        <v>0.1343</v>
      </c>
      <c r="Q81">
        <v>0.36799999999999999</v>
      </c>
      <c r="R81">
        <v>0.54469999999999996</v>
      </c>
      <c r="S81">
        <v>0.58320000000000005</v>
      </c>
      <c r="T81">
        <v>0.66579999999999995</v>
      </c>
      <c r="U81">
        <v>0.65890000000000004</v>
      </c>
      <c r="W81">
        <v>2</v>
      </c>
    </row>
    <row r="82" spans="1:23" x14ac:dyDescent="0.35">
      <c r="A82">
        <v>5</v>
      </c>
      <c r="B82">
        <v>96.733699999999999</v>
      </c>
      <c r="C82">
        <v>71.608000000000004</v>
      </c>
      <c r="D82">
        <v>91.228099999999998</v>
      </c>
      <c r="E82">
        <v>95.906400000000005</v>
      </c>
      <c r="F82">
        <v>85.9649</v>
      </c>
      <c r="G82">
        <v>91.228099999999998</v>
      </c>
      <c r="H82">
        <v>68.667599999999993</v>
      </c>
      <c r="I82">
        <v>65.007300000000001</v>
      </c>
      <c r="J82">
        <v>65.007300000000001</v>
      </c>
      <c r="L82">
        <v>5</v>
      </c>
      <c r="M82">
        <v>0.10150000000000001</v>
      </c>
      <c r="N82">
        <v>0.63229999999999997</v>
      </c>
      <c r="O82">
        <v>0.13919999999999999</v>
      </c>
      <c r="P82">
        <v>0.1022</v>
      </c>
      <c r="Q82">
        <v>0.55030000000000001</v>
      </c>
      <c r="R82">
        <v>0.34410000000000002</v>
      </c>
      <c r="S82">
        <v>0.59750000000000003</v>
      </c>
      <c r="T82">
        <v>0.66659999999999997</v>
      </c>
      <c r="U82">
        <v>0.65439999999999998</v>
      </c>
      <c r="W82">
        <v>3</v>
      </c>
    </row>
    <row r="83" spans="1:23" x14ac:dyDescent="0.35">
      <c r="A83">
        <v>5</v>
      </c>
      <c r="B83">
        <v>94.723600000000005</v>
      </c>
      <c r="C83">
        <v>87.437200000000004</v>
      </c>
      <c r="D83">
        <v>93.567300000000003</v>
      </c>
      <c r="E83">
        <v>97.075999999999993</v>
      </c>
      <c r="F83">
        <v>92.3977</v>
      </c>
      <c r="G83">
        <v>93.567300000000003</v>
      </c>
      <c r="H83">
        <v>66.032200000000003</v>
      </c>
      <c r="I83">
        <v>65.007300000000001</v>
      </c>
      <c r="J83">
        <v>86.237200000000001</v>
      </c>
      <c r="L83">
        <v>5</v>
      </c>
      <c r="M83">
        <v>0.12</v>
      </c>
      <c r="N83">
        <v>0.41909999999999997</v>
      </c>
      <c r="O83">
        <v>0.19620000000000001</v>
      </c>
      <c r="P83">
        <v>0.1051</v>
      </c>
      <c r="Q83">
        <v>0.38340000000000002</v>
      </c>
      <c r="R83">
        <v>9.3899999999999997E-2</v>
      </c>
      <c r="S83">
        <v>0.63800000000000001</v>
      </c>
      <c r="T83">
        <v>0.66639999999999999</v>
      </c>
      <c r="U83">
        <v>0.67100000000000004</v>
      </c>
      <c r="W83">
        <v>4</v>
      </c>
    </row>
    <row r="84" spans="1:23" x14ac:dyDescent="0.35">
      <c r="A84">
        <v>5</v>
      </c>
      <c r="B84">
        <v>94.472399999999993</v>
      </c>
      <c r="C84">
        <v>77.889399999999995</v>
      </c>
      <c r="D84">
        <v>95.906400000000005</v>
      </c>
      <c r="E84">
        <v>97.075999999999993</v>
      </c>
      <c r="F84">
        <v>85.380099999999999</v>
      </c>
      <c r="G84">
        <v>95.906400000000005</v>
      </c>
      <c r="H84">
        <v>69.692499999999995</v>
      </c>
      <c r="I84">
        <v>65.3001</v>
      </c>
      <c r="J84">
        <v>91.508099999999999</v>
      </c>
      <c r="L84">
        <v>5</v>
      </c>
      <c r="M84">
        <v>0.1419</v>
      </c>
      <c r="N84">
        <v>0.56040000000000001</v>
      </c>
      <c r="O84">
        <v>0.41199999999999998</v>
      </c>
      <c r="P84">
        <v>0.08</v>
      </c>
      <c r="Q84">
        <v>0.46910000000000002</v>
      </c>
      <c r="R84">
        <v>0.1205</v>
      </c>
      <c r="S84">
        <v>0.56989999999999996</v>
      </c>
      <c r="T84">
        <v>0.67469999999999997</v>
      </c>
      <c r="U84">
        <v>0.68169999999999997</v>
      </c>
      <c r="W84">
        <v>5</v>
      </c>
    </row>
    <row r="85" spans="1:23" x14ac:dyDescent="0.35">
      <c r="A85">
        <v>5</v>
      </c>
      <c r="B85">
        <v>96.482399999999998</v>
      </c>
      <c r="C85">
        <v>73.618099999999998</v>
      </c>
      <c r="D85">
        <v>91.228099999999998</v>
      </c>
      <c r="E85">
        <v>94.736800000000002</v>
      </c>
      <c r="F85">
        <v>88.888900000000007</v>
      </c>
      <c r="G85">
        <v>91.228099999999998</v>
      </c>
      <c r="H85">
        <v>73.206400000000002</v>
      </c>
      <c r="I85">
        <v>65.007300000000001</v>
      </c>
      <c r="J85">
        <v>65.007300000000001</v>
      </c>
      <c r="L85">
        <v>5</v>
      </c>
      <c r="M85">
        <v>9.3799999999999994E-2</v>
      </c>
      <c r="N85">
        <v>0.60199999999999998</v>
      </c>
      <c r="O85">
        <v>0.21579999999999999</v>
      </c>
      <c r="P85">
        <v>0.1263</v>
      </c>
      <c r="Q85">
        <v>0.497</v>
      </c>
      <c r="R85">
        <v>4.7500000000000001E-2</v>
      </c>
      <c r="S85">
        <v>0.57210000000000005</v>
      </c>
      <c r="T85">
        <v>0.67169999999999996</v>
      </c>
      <c r="U85">
        <v>0.65610000000000002</v>
      </c>
      <c r="W85">
        <v>6</v>
      </c>
    </row>
    <row r="86" spans="1:23" x14ac:dyDescent="0.35">
      <c r="A86">
        <v>5</v>
      </c>
      <c r="B86">
        <v>95.7286</v>
      </c>
      <c r="C86">
        <v>64.070300000000003</v>
      </c>
      <c r="D86">
        <v>91.812899999999999</v>
      </c>
      <c r="E86">
        <v>94.736800000000002</v>
      </c>
      <c r="F86">
        <v>79.532200000000003</v>
      </c>
      <c r="G86">
        <v>91.812899999999999</v>
      </c>
      <c r="H86">
        <v>74.231300000000005</v>
      </c>
      <c r="I86">
        <v>65.007300000000001</v>
      </c>
      <c r="J86">
        <v>65.007300000000001</v>
      </c>
      <c r="L86">
        <v>5</v>
      </c>
      <c r="M86">
        <v>0.1177</v>
      </c>
      <c r="N86">
        <v>0.71309999999999996</v>
      </c>
      <c r="O86">
        <v>0.2429</v>
      </c>
      <c r="P86">
        <v>0.11799999999999999</v>
      </c>
      <c r="Q86">
        <v>0.63800000000000001</v>
      </c>
      <c r="R86">
        <v>6.7100000000000007E-2</v>
      </c>
      <c r="S86">
        <v>0.55920000000000003</v>
      </c>
      <c r="T86">
        <v>0.67</v>
      </c>
      <c r="U86">
        <v>0.6603</v>
      </c>
      <c r="W86">
        <v>7</v>
      </c>
    </row>
    <row r="87" spans="1:23" x14ac:dyDescent="0.35">
      <c r="A87">
        <v>5</v>
      </c>
      <c r="B87">
        <v>95.477400000000003</v>
      </c>
      <c r="C87">
        <v>90.200999999999993</v>
      </c>
      <c r="D87">
        <v>91.812899999999999</v>
      </c>
      <c r="E87">
        <v>94.736800000000002</v>
      </c>
      <c r="F87">
        <v>90.643299999999996</v>
      </c>
      <c r="G87">
        <v>91.812899999999999</v>
      </c>
      <c r="H87">
        <v>73.792100000000005</v>
      </c>
      <c r="I87">
        <v>65.007300000000001</v>
      </c>
      <c r="J87">
        <v>65.007300000000001</v>
      </c>
      <c r="L87">
        <v>5</v>
      </c>
      <c r="M87">
        <v>0.1106</v>
      </c>
      <c r="N87">
        <v>0.3972</v>
      </c>
      <c r="O87">
        <v>0.31059999999999999</v>
      </c>
      <c r="P87">
        <v>0.1179</v>
      </c>
      <c r="Q87">
        <v>0.34820000000000001</v>
      </c>
      <c r="R87">
        <v>0.13880000000000001</v>
      </c>
      <c r="S87">
        <v>0.57320000000000004</v>
      </c>
      <c r="T87">
        <v>0.67069999999999996</v>
      </c>
      <c r="U87">
        <v>0.65820000000000001</v>
      </c>
      <c r="W87">
        <v>8</v>
      </c>
    </row>
    <row r="88" spans="1:23" x14ac:dyDescent="0.35">
      <c r="A88">
        <v>5</v>
      </c>
      <c r="B88">
        <v>97.487399999999994</v>
      </c>
      <c r="C88">
        <v>92.964799999999997</v>
      </c>
      <c r="D88">
        <v>91.812899999999999</v>
      </c>
      <c r="E88">
        <v>93.567300000000003</v>
      </c>
      <c r="F88">
        <v>90.643299999999996</v>
      </c>
      <c r="G88">
        <v>91.812899999999999</v>
      </c>
      <c r="H88">
        <v>72.474400000000003</v>
      </c>
      <c r="I88">
        <v>65.007300000000001</v>
      </c>
      <c r="J88">
        <v>67.642799999999994</v>
      </c>
      <c r="L88">
        <v>5</v>
      </c>
      <c r="M88">
        <v>8.5500000000000007E-2</v>
      </c>
      <c r="N88">
        <v>0.30259999999999998</v>
      </c>
      <c r="O88">
        <v>0.2319</v>
      </c>
      <c r="P88">
        <v>0.14599999999999999</v>
      </c>
      <c r="Q88">
        <v>0.31059999999999999</v>
      </c>
      <c r="R88">
        <v>0.1109</v>
      </c>
      <c r="S88">
        <v>0.54449999999999998</v>
      </c>
      <c r="T88">
        <v>0.66459999999999997</v>
      </c>
      <c r="U88">
        <v>0.6603</v>
      </c>
      <c r="W88">
        <v>9</v>
      </c>
    </row>
    <row r="89" spans="1:23" ht="15" thickBot="1" x14ac:dyDescent="0.4">
      <c r="A89" s="3">
        <v>5</v>
      </c>
      <c r="B89" s="3">
        <v>95.979900000000001</v>
      </c>
      <c r="C89" s="3">
        <v>78.391999999999996</v>
      </c>
      <c r="D89" s="3">
        <v>94.736800000000002</v>
      </c>
      <c r="E89" s="3">
        <v>96.491200000000006</v>
      </c>
      <c r="F89" s="3">
        <v>94.736800000000002</v>
      </c>
      <c r="G89" s="3">
        <v>94.736800000000002</v>
      </c>
      <c r="H89" s="3">
        <v>66.325000000000003</v>
      </c>
      <c r="I89" s="3">
        <v>65.007300000000001</v>
      </c>
      <c r="J89" s="3">
        <v>89.458299999999994</v>
      </c>
      <c r="L89" s="3">
        <v>5</v>
      </c>
      <c r="M89" s="3">
        <v>0.104</v>
      </c>
      <c r="N89" s="3">
        <v>0.51039999999999996</v>
      </c>
      <c r="O89" s="3">
        <v>7.6999999999999999E-2</v>
      </c>
      <c r="P89" s="3">
        <v>9.2499999999999999E-2</v>
      </c>
      <c r="Q89" s="3">
        <v>0.33019999999999999</v>
      </c>
      <c r="R89" s="3">
        <v>0.1321</v>
      </c>
      <c r="S89" s="3">
        <v>0.69640000000000002</v>
      </c>
      <c r="T89" s="3">
        <v>0.66710000000000003</v>
      </c>
      <c r="U89" s="3">
        <v>0.6754</v>
      </c>
      <c r="W89">
        <v>10</v>
      </c>
    </row>
    <row r="90" spans="1:23" ht="15" thickTop="1" x14ac:dyDescent="0.35">
      <c r="A90" t="s">
        <v>0</v>
      </c>
      <c r="B90">
        <f>AVERAGE(B80:B89)</f>
        <v>95.778890000000004</v>
      </c>
      <c r="C90">
        <f>AVERAGE(C80:C89)</f>
        <v>80.778890000000004</v>
      </c>
      <c r="D90">
        <f>AVERAGE(D80:D89)</f>
        <v>92.514640000000014</v>
      </c>
      <c r="E90">
        <f>AVERAGE(E80:E89)</f>
        <v>95.380090000000024</v>
      </c>
      <c r="F90">
        <f>AVERAGE(F80:F89)</f>
        <v>88.596499999999992</v>
      </c>
      <c r="G90">
        <f>AVERAGE(G80:G89)</f>
        <v>92.514640000000014</v>
      </c>
      <c r="H90">
        <f>AVERAGE(H80:H89)</f>
        <v>70.366020000000006</v>
      </c>
      <c r="I90">
        <f>AVERAGE(I80:I89)</f>
        <v>65.036579999999987</v>
      </c>
      <c r="J90">
        <f>AVERAGE(J80:J89)</f>
        <v>72.606149999999985</v>
      </c>
      <c r="L90" t="s">
        <v>0</v>
      </c>
      <c r="M90">
        <f>AVERAGE(M80:M89)</f>
        <v>0.11063000000000001</v>
      </c>
      <c r="N90">
        <f>AVERAGE(N80:N89)</f>
        <v>0.50957999999999992</v>
      </c>
      <c r="O90">
        <f>AVERAGE(O80:O89)</f>
        <v>0.22841</v>
      </c>
      <c r="P90">
        <f>AVERAGE(P80:P89)</f>
        <v>0.11685999999999999</v>
      </c>
      <c r="Q90">
        <f>AVERAGE(Q80:Q89)</f>
        <v>0.44001999999999991</v>
      </c>
      <c r="R90">
        <f>AVERAGE(R80:R89)</f>
        <v>0.17440000000000003</v>
      </c>
      <c r="S90">
        <f>AVERAGE(S80:S89)</f>
        <v>0.58983999999999992</v>
      </c>
      <c r="T90">
        <f>AVERAGE(T80:T89)</f>
        <v>0.66906999999999994</v>
      </c>
      <c r="U90">
        <f>AVERAGE(U80:U89)</f>
        <v>0.66339999999999999</v>
      </c>
    </row>
    <row r="91" spans="1:23" x14ac:dyDescent="0.35">
      <c r="A91" t="s">
        <v>24</v>
      </c>
      <c r="B91">
        <f>STDEV(B80:B89)</f>
        <v>0.92354698544975544</v>
      </c>
      <c r="C91">
        <f>STDEV(C80:C89)</f>
        <v>9.4512085444078995</v>
      </c>
      <c r="D91">
        <f>STDEV(D80:D89)</f>
        <v>1.7822996425966118</v>
      </c>
      <c r="E91">
        <f>STDEV(E80:E89)</f>
        <v>1.1841127390488511</v>
      </c>
      <c r="F91">
        <f>STDEV(F80:F89)</f>
        <v>4.2995555328428994</v>
      </c>
      <c r="G91">
        <f>STDEV(G80:G89)</f>
        <v>1.7822996425966118</v>
      </c>
      <c r="H91">
        <f>STDEV(H80:H89)</f>
        <v>3.1014345876993423</v>
      </c>
      <c r="I91">
        <f>STDEV(I80:I89)</f>
        <v>9.2591489889730066E-2</v>
      </c>
      <c r="J91">
        <f>STDEV(J80:J89)</f>
        <v>11.458839607554918</v>
      </c>
      <c r="L91" t="s">
        <v>24</v>
      </c>
      <c r="M91">
        <f>STDEV(M80:M89)</f>
        <v>1.6743426570846584E-2</v>
      </c>
      <c r="N91">
        <f>STDEV(N80:N89)</f>
        <v>0.12849354328785062</v>
      </c>
      <c r="O91">
        <f>STDEV(O80:O89)</f>
        <v>9.1231737289656473E-2</v>
      </c>
      <c r="P91">
        <f>STDEV(P80:P89)</f>
        <v>2.2152963182783959E-2</v>
      </c>
      <c r="Q91">
        <f>STDEV(Q80:Q89)</f>
        <v>0.10819645506618472</v>
      </c>
      <c r="R91">
        <f>STDEV(R80:R89)</f>
        <v>0.1530836517870032</v>
      </c>
      <c r="S91">
        <f>STDEV(S80:S89)</f>
        <v>4.522548937146937E-2</v>
      </c>
      <c r="T91">
        <f>STDEV(T80:T89)</f>
        <v>3.4344820084936689E-3</v>
      </c>
      <c r="U91">
        <f>STDEV(U80:U89)</f>
        <v>9.2492642350020943E-3</v>
      </c>
    </row>
    <row r="92" spans="1:23" x14ac:dyDescent="0.35">
      <c r="A92" t="s">
        <v>25</v>
      </c>
      <c r="B92">
        <f>_xlfn.CONFIDENCE.NORM(0.05,B91,$B$1)</f>
        <v>0.5020366349606602</v>
      </c>
      <c r="C92">
        <f t="shared" ref="C92" si="33">_xlfn.CONFIDENCE.NORM(0.05,C91,$B$1)</f>
        <v>5.1376410823703784</v>
      </c>
      <c r="D92">
        <f t="shared" ref="D92" si="34">_xlfn.CONFIDENCE.NORM(0.05,D91,$B$1)</f>
        <v>0.96885131905340394</v>
      </c>
      <c r="E92">
        <f t="shared" ref="E92" si="35">_xlfn.CONFIDENCE.NORM(0.05,E91,$B$1)</f>
        <v>0.64367918935563129</v>
      </c>
      <c r="F92">
        <f t="shared" ref="F92" si="36">_xlfn.CONFIDENCE.NORM(0.05,F91,$B$1)</f>
        <v>2.3372220640011716</v>
      </c>
      <c r="G92">
        <f t="shared" ref="G92" si="37">_xlfn.CONFIDENCE.NORM(0.05,G91,$B$1)</f>
        <v>0.96885131905340394</v>
      </c>
      <c r="H92">
        <f t="shared" ref="H92" si="38">_xlfn.CONFIDENCE.NORM(0.05,H91,$B$1)</f>
        <v>1.6859280669958823</v>
      </c>
      <c r="I92">
        <f t="shared" ref="I92" si="39">_xlfn.CONFIDENCE.NORM(0.05,I91,$B$1)</f>
        <v>5.0332382372074783E-2</v>
      </c>
      <c r="J92">
        <f t="shared" ref="J92" si="40">_xlfn.CONFIDENCE.NORM(0.05,J91,$B$1)</f>
        <v>6.2289817061438244</v>
      </c>
      <c r="L92" t="s">
        <v>25</v>
      </c>
      <c r="M92">
        <f t="shared" ref="M92" si="41">_xlfn.CONFIDENCE.NORM(0.05,M91,$B$1)</f>
        <v>9.1016631159758516E-3</v>
      </c>
      <c r="N92">
        <f t="shared" ref="N92" si="42">_xlfn.CONFIDENCE.NORM(0.05,N91,$B$1)</f>
        <v>6.9848602293893766E-2</v>
      </c>
      <c r="O92">
        <f t="shared" ref="O92" si="43">_xlfn.CONFIDENCE.NORM(0.05,O91,$B$1)</f>
        <v>4.9593226021098752E-2</v>
      </c>
      <c r="P92">
        <f t="shared" ref="P92" si="44">_xlfn.CONFIDENCE.NORM(0.05,P91,$B$1)</f>
        <v>1.2042266680429022E-2</v>
      </c>
      <c r="Q92">
        <f t="shared" ref="Q92" si="45">_xlfn.CONFIDENCE.NORM(0.05,Q91,$B$1)</f>
        <v>5.8815182196331035E-2</v>
      </c>
      <c r="R92">
        <f t="shared" ref="R92" si="46">_xlfn.CONFIDENCE.NORM(0.05,R91,$B$1)</f>
        <v>8.3215691915457704E-2</v>
      </c>
      <c r="S92">
        <f t="shared" ref="S92" si="47">_xlfn.CONFIDENCE.NORM(0.05,S91,$B$1)</f>
        <v>2.4584404319661784E-2</v>
      </c>
      <c r="T92">
        <f t="shared" ref="T92" si="48">_xlfn.CONFIDENCE.NORM(0.05,T91,$B$1)</f>
        <v>1.8669713804949626E-3</v>
      </c>
      <c r="U92">
        <f t="shared" ref="U92" si="49">_xlfn.CONFIDENCE.NORM(0.05,U91,$B$1)</f>
        <v>5.0278649224772543E-3</v>
      </c>
    </row>
    <row r="95" spans="1:23" x14ac:dyDescent="0.35">
      <c r="B95" s="2" t="s">
        <v>11</v>
      </c>
      <c r="C95" s="2"/>
      <c r="D95" s="2"/>
      <c r="E95" s="2"/>
      <c r="F95" s="2"/>
      <c r="G95" s="2"/>
      <c r="H95" s="2"/>
      <c r="I95" s="2"/>
      <c r="J95" s="2"/>
      <c r="M95" s="2" t="s">
        <v>28</v>
      </c>
      <c r="N95" s="2"/>
      <c r="O95" s="2"/>
      <c r="P95" s="2"/>
      <c r="Q95" s="2"/>
      <c r="R95" s="2"/>
      <c r="S95" s="2"/>
      <c r="T95" s="2"/>
      <c r="U95" s="2"/>
    </row>
    <row r="96" spans="1:23" x14ac:dyDescent="0.35">
      <c r="B96" s="2" t="s">
        <v>21</v>
      </c>
      <c r="C96" s="2"/>
      <c r="D96" s="2"/>
      <c r="E96" s="2" t="s">
        <v>22</v>
      </c>
      <c r="F96" s="2"/>
      <c r="G96" s="2"/>
      <c r="H96" s="2" t="s">
        <v>23</v>
      </c>
      <c r="I96" s="2"/>
      <c r="J96" s="2"/>
      <c r="M96" s="2" t="s">
        <v>21</v>
      </c>
      <c r="N96" s="2"/>
      <c r="O96" s="2"/>
      <c r="P96" s="2" t="s">
        <v>22</v>
      </c>
      <c r="Q96" s="2"/>
      <c r="R96" s="2"/>
      <c r="S96" s="2" t="s">
        <v>23</v>
      </c>
      <c r="T96" s="2"/>
      <c r="U96" s="2"/>
    </row>
    <row r="97" spans="1:23" x14ac:dyDescent="0.35">
      <c r="A97" t="s">
        <v>1</v>
      </c>
      <c r="B97" t="s">
        <v>2</v>
      </c>
      <c r="C97" t="s">
        <v>3</v>
      </c>
      <c r="D97" t="s">
        <v>4</v>
      </c>
      <c r="E97" t="s">
        <v>5</v>
      </c>
      <c r="F97" t="s">
        <v>6</v>
      </c>
      <c r="G97" t="s">
        <v>7</v>
      </c>
      <c r="H97" t="s">
        <v>8</v>
      </c>
      <c r="I97" t="s">
        <v>9</v>
      </c>
      <c r="J97" t="s">
        <v>10</v>
      </c>
      <c r="L97" t="s">
        <v>1</v>
      </c>
      <c r="M97" t="s">
        <v>12</v>
      </c>
      <c r="N97" t="s">
        <v>13</v>
      </c>
      <c r="O97" t="s">
        <v>14</v>
      </c>
      <c r="P97" t="s">
        <v>15</v>
      </c>
      <c r="Q97" t="s">
        <v>16</v>
      </c>
      <c r="R97" t="s">
        <v>17</v>
      </c>
      <c r="S97" t="s">
        <v>18</v>
      </c>
      <c r="T97" t="s">
        <v>19</v>
      </c>
      <c r="U97" t="s">
        <v>20</v>
      </c>
      <c r="W97" t="s">
        <v>27</v>
      </c>
    </row>
    <row r="98" spans="1:23" x14ac:dyDescent="0.35">
      <c r="A98">
        <v>4</v>
      </c>
      <c r="B98">
        <v>95.7286</v>
      </c>
      <c r="C98">
        <v>84.170900000000003</v>
      </c>
      <c r="D98">
        <v>88.304100000000005</v>
      </c>
      <c r="E98">
        <v>92.982500000000002</v>
      </c>
      <c r="F98">
        <v>85.380099999999999</v>
      </c>
      <c r="G98">
        <v>88.304100000000005</v>
      </c>
      <c r="H98">
        <v>66.764300000000006</v>
      </c>
      <c r="I98">
        <v>65.007300000000001</v>
      </c>
      <c r="J98">
        <v>65.007300000000001</v>
      </c>
      <c r="L98">
        <v>4</v>
      </c>
      <c r="M98">
        <v>0.1056</v>
      </c>
      <c r="N98">
        <v>0.45600000000000002</v>
      </c>
      <c r="O98">
        <v>0.19020000000000001</v>
      </c>
      <c r="P98">
        <v>0.1862</v>
      </c>
      <c r="Q98">
        <v>0.42899999999999999</v>
      </c>
      <c r="R98">
        <v>7.8600000000000003E-2</v>
      </c>
      <c r="S98">
        <v>0.56559999999999999</v>
      </c>
      <c r="T98">
        <v>0.67049999999999998</v>
      </c>
      <c r="U98">
        <v>0.65200000000000002</v>
      </c>
      <c r="W98">
        <v>1</v>
      </c>
    </row>
    <row r="99" spans="1:23" x14ac:dyDescent="0.35">
      <c r="A99">
        <v>4</v>
      </c>
      <c r="B99">
        <v>95.7286</v>
      </c>
      <c r="C99">
        <v>83.668300000000002</v>
      </c>
      <c r="D99">
        <v>91.812899999999999</v>
      </c>
      <c r="E99">
        <v>94.152000000000001</v>
      </c>
      <c r="F99">
        <v>90.643299999999996</v>
      </c>
      <c r="G99">
        <v>91.812899999999999</v>
      </c>
      <c r="H99">
        <v>70.863799999999998</v>
      </c>
      <c r="I99">
        <v>65.007300000000001</v>
      </c>
      <c r="J99">
        <v>65.007300000000001</v>
      </c>
      <c r="L99">
        <v>4</v>
      </c>
      <c r="M99">
        <v>0.1109</v>
      </c>
      <c r="N99">
        <v>0.56469999999999998</v>
      </c>
      <c r="O99">
        <v>0.50309999999999999</v>
      </c>
      <c r="P99">
        <v>0.13</v>
      </c>
      <c r="Q99">
        <v>0.5131</v>
      </c>
      <c r="R99">
        <v>0.1003</v>
      </c>
      <c r="S99">
        <v>0.5595</v>
      </c>
      <c r="T99">
        <v>0.67569999999999997</v>
      </c>
      <c r="U99">
        <v>0.65229999999999999</v>
      </c>
      <c r="W99">
        <v>2</v>
      </c>
    </row>
    <row r="100" spans="1:23" x14ac:dyDescent="0.35">
      <c r="A100">
        <v>4</v>
      </c>
      <c r="B100">
        <v>95.226100000000002</v>
      </c>
      <c r="C100">
        <v>62.814100000000003</v>
      </c>
      <c r="D100">
        <v>94.152000000000001</v>
      </c>
      <c r="E100">
        <v>97.660799999999995</v>
      </c>
      <c r="F100">
        <v>85.380099999999999</v>
      </c>
      <c r="G100">
        <v>94.152000000000001</v>
      </c>
      <c r="H100">
        <v>67.789199999999994</v>
      </c>
      <c r="I100">
        <v>65.007300000000001</v>
      </c>
      <c r="J100">
        <v>67.203500000000005</v>
      </c>
      <c r="L100">
        <v>4</v>
      </c>
      <c r="M100">
        <v>0.13950000000000001</v>
      </c>
      <c r="N100">
        <v>0.7157</v>
      </c>
      <c r="O100">
        <v>0.39429999999999998</v>
      </c>
      <c r="P100">
        <v>8.6199999999999999E-2</v>
      </c>
      <c r="Q100">
        <v>0.61890000000000001</v>
      </c>
      <c r="R100">
        <v>0.1183</v>
      </c>
      <c r="S100">
        <v>0.58450000000000002</v>
      </c>
      <c r="T100">
        <v>0.67130000000000001</v>
      </c>
      <c r="U100">
        <v>0.66459999999999997</v>
      </c>
      <c r="W100">
        <v>3</v>
      </c>
    </row>
    <row r="101" spans="1:23" x14ac:dyDescent="0.35">
      <c r="A101">
        <v>4</v>
      </c>
      <c r="B101">
        <v>95.477400000000003</v>
      </c>
      <c r="C101">
        <v>88.944699999999997</v>
      </c>
      <c r="D101">
        <v>92.982500000000002</v>
      </c>
      <c r="E101">
        <v>94.736800000000002</v>
      </c>
      <c r="F101">
        <v>92.982500000000002</v>
      </c>
      <c r="G101">
        <v>92.982500000000002</v>
      </c>
      <c r="H101">
        <v>73.206400000000002</v>
      </c>
      <c r="I101">
        <v>65.446600000000004</v>
      </c>
      <c r="J101">
        <v>83.894599999999997</v>
      </c>
      <c r="L101">
        <v>4</v>
      </c>
      <c r="M101">
        <v>0.1023</v>
      </c>
      <c r="N101">
        <v>0.31830000000000003</v>
      </c>
      <c r="O101">
        <v>0.1855</v>
      </c>
      <c r="P101">
        <v>0.12889999999999999</v>
      </c>
      <c r="Q101">
        <v>0.26440000000000002</v>
      </c>
      <c r="R101">
        <v>9.4100000000000003E-2</v>
      </c>
      <c r="S101">
        <v>0.57589999999999997</v>
      </c>
      <c r="T101">
        <v>0.66679999999999995</v>
      </c>
      <c r="U101">
        <v>0.67230000000000001</v>
      </c>
      <c r="W101">
        <v>4</v>
      </c>
    </row>
    <row r="102" spans="1:23" x14ac:dyDescent="0.35">
      <c r="A102">
        <v>4</v>
      </c>
      <c r="B102">
        <v>94.974900000000005</v>
      </c>
      <c r="C102">
        <v>73.869299999999996</v>
      </c>
      <c r="D102">
        <v>91.228099999999998</v>
      </c>
      <c r="E102">
        <v>94.736800000000002</v>
      </c>
      <c r="F102">
        <v>84.795299999999997</v>
      </c>
      <c r="G102">
        <v>91.228099999999998</v>
      </c>
      <c r="H102">
        <v>68.667599999999993</v>
      </c>
      <c r="I102">
        <v>65.007300000000001</v>
      </c>
      <c r="J102">
        <v>83.748199999999997</v>
      </c>
      <c r="L102">
        <v>4</v>
      </c>
      <c r="M102">
        <v>0.14249999999999999</v>
      </c>
      <c r="N102">
        <v>0.64</v>
      </c>
      <c r="O102">
        <v>0.11609999999999999</v>
      </c>
      <c r="P102">
        <v>0.12609999999999999</v>
      </c>
      <c r="Q102">
        <v>0.57699999999999996</v>
      </c>
      <c r="R102">
        <v>7.3099999999999998E-2</v>
      </c>
      <c r="S102">
        <v>0.5444</v>
      </c>
      <c r="T102">
        <v>0.67359999999999998</v>
      </c>
      <c r="U102">
        <v>0.67020000000000002</v>
      </c>
      <c r="W102">
        <v>5</v>
      </c>
    </row>
    <row r="103" spans="1:23" x14ac:dyDescent="0.35">
      <c r="A103">
        <v>4</v>
      </c>
      <c r="B103">
        <v>95.477400000000003</v>
      </c>
      <c r="C103">
        <v>86.432199999999995</v>
      </c>
      <c r="D103">
        <v>90.643299999999996</v>
      </c>
      <c r="E103">
        <v>92.982500000000002</v>
      </c>
      <c r="F103">
        <v>89.473699999999994</v>
      </c>
      <c r="G103">
        <v>90.643299999999996</v>
      </c>
      <c r="H103">
        <v>67.789199999999994</v>
      </c>
      <c r="I103">
        <v>65.446600000000004</v>
      </c>
      <c r="J103">
        <v>65.007300000000001</v>
      </c>
      <c r="L103">
        <v>4</v>
      </c>
      <c r="M103">
        <v>0.1202</v>
      </c>
      <c r="N103">
        <v>0.36630000000000001</v>
      </c>
      <c r="O103">
        <v>0.26419999999999999</v>
      </c>
      <c r="P103">
        <v>0.17030000000000001</v>
      </c>
      <c r="Q103">
        <v>0.3367</v>
      </c>
      <c r="R103">
        <v>0.2122</v>
      </c>
      <c r="S103">
        <v>0.58040000000000003</v>
      </c>
      <c r="T103">
        <v>0.66879999999999995</v>
      </c>
      <c r="U103">
        <v>0.66300000000000003</v>
      </c>
      <c r="W103">
        <v>6</v>
      </c>
    </row>
    <row r="104" spans="1:23" x14ac:dyDescent="0.35">
      <c r="A104">
        <v>4</v>
      </c>
      <c r="B104">
        <v>96.733699999999999</v>
      </c>
      <c r="C104">
        <v>83.919600000000003</v>
      </c>
      <c r="D104">
        <v>91.228099999999998</v>
      </c>
      <c r="E104">
        <v>93.567300000000003</v>
      </c>
      <c r="F104">
        <v>89.473699999999994</v>
      </c>
      <c r="G104">
        <v>91.228099999999998</v>
      </c>
      <c r="H104">
        <v>69.106899999999996</v>
      </c>
      <c r="I104">
        <v>65.007300000000001</v>
      </c>
      <c r="J104">
        <v>65.007300000000001</v>
      </c>
      <c r="L104">
        <v>4</v>
      </c>
      <c r="M104">
        <v>9.0200000000000002E-2</v>
      </c>
      <c r="N104">
        <v>0.42449999999999999</v>
      </c>
      <c r="O104">
        <v>0.18440000000000001</v>
      </c>
      <c r="P104">
        <v>0.15629999999999999</v>
      </c>
      <c r="Q104">
        <v>0.36459999999999998</v>
      </c>
      <c r="R104">
        <v>0.3266</v>
      </c>
      <c r="S104">
        <v>0.58209999999999995</v>
      </c>
      <c r="T104">
        <v>0.66679999999999995</v>
      </c>
      <c r="U104">
        <v>0.66500000000000004</v>
      </c>
      <c r="W104">
        <v>7</v>
      </c>
    </row>
    <row r="105" spans="1:23" x14ac:dyDescent="0.35">
      <c r="A105">
        <v>4</v>
      </c>
      <c r="B105">
        <v>95.226100000000002</v>
      </c>
      <c r="C105">
        <v>78.391999999999996</v>
      </c>
      <c r="D105">
        <v>90.058499999999995</v>
      </c>
      <c r="E105">
        <v>94.736800000000002</v>
      </c>
      <c r="F105">
        <v>83.625699999999995</v>
      </c>
      <c r="G105">
        <v>90.058499999999995</v>
      </c>
      <c r="H105">
        <v>66.325000000000003</v>
      </c>
      <c r="I105">
        <v>65.007300000000001</v>
      </c>
      <c r="J105">
        <v>65.007300000000001</v>
      </c>
      <c r="L105">
        <v>4</v>
      </c>
      <c r="M105">
        <v>0.1085</v>
      </c>
      <c r="N105">
        <v>0.57369999999999999</v>
      </c>
      <c r="O105">
        <v>0.28370000000000001</v>
      </c>
      <c r="P105">
        <v>0.14829999999999999</v>
      </c>
      <c r="Q105">
        <v>0.49919999999999998</v>
      </c>
      <c r="R105">
        <v>8.8800000000000004E-2</v>
      </c>
      <c r="S105">
        <v>0.59079999999999999</v>
      </c>
      <c r="T105">
        <v>0.66959999999999997</v>
      </c>
      <c r="U105">
        <v>0.65629999999999999</v>
      </c>
      <c r="W105">
        <v>8</v>
      </c>
    </row>
    <row r="106" spans="1:23" x14ac:dyDescent="0.35">
      <c r="A106">
        <v>4</v>
      </c>
      <c r="B106">
        <v>95.7286</v>
      </c>
      <c r="C106">
        <v>88.4422</v>
      </c>
      <c r="D106">
        <v>91.228099999999998</v>
      </c>
      <c r="E106">
        <v>92.982500000000002</v>
      </c>
      <c r="F106">
        <v>90.058499999999995</v>
      </c>
      <c r="G106">
        <v>91.228099999999998</v>
      </c>
      <c r="H106">
        <v>65.885800000000003</v>
      </c>
      <c r="I106">
        <v>65.007300000000001</v>
      </c>
      <c r="J106">
        <v>76.720399999999998</v>
      </c>
      <c r="L106">
        <v>4</v>
      </c>
      <c r="M106">
        <v>0.1096</v>
      </c>
      <c r="N106">
        <v>0.39340000000000003</v>
      </c>
      <c r="O106">
        <v>8.1299999999999997E-2</v>
      </c>
      <c r="P106">
        <v>0.17449999999999999</v>
      </c>
      <c r="Q106">
        <v>0.36770000000000003</v>
      </c>
      <c r="R106">
        <v>4.9200000000000001E-2</v>
      </c>
      <c r="S106">
        <v>0.60140000000000005</v>
      </c>
      <c r="T106">
        <v>0.67149999999999999</v>
      </c>
      <c r="U106">
        <v>0.66710000000000003</v>
      </c>
      <c r="W106">
        <v>9</v>
      </c>
    </row>
    <row r="107" spans="1:23" ht="15" thickBot="1" x14ac:dyDescent="0.4">
      <c r="A107" s="3">
        <v>4</v>
      </c>
      <c r="B107" s="3">
        <v>97.738699999999994</v>
      </c>
      <c r="C107" s="3">
        <v>90.200999999999993</v>
      </c>
      <c r="D107" s="3">
        <v>90.643299999999996</v>
      </c>
      <c r="E107" s="3">
        <v>93.567300000000003</v>
      </c>
      <c r="F107" s="3">
        <v>89.473699999999994</v>
      </c>
      <c r="G107" s="3">
        <v>90.643299999999996</v>
      </c>
      <c r="H107" s="3">
        <v>65.739400000000003</v>
      </c>
      <c r="I107" s="3">
        <v>65.007300000000001</v>
      </c>
      <c r="J107" s="3">
        <v>83.894599999999997</v>
      </c>
      <c r="L107" s="3">
        <v>4</v>
      </c>
      <c r="M107" s="3">
        <v>8.1699999999999995E-2</v>
      </c>
      <c r="N107" s="3">
        <v>0.41049999999999998</v>
      </c>
      <c r="O107" s="3">
        <v>0.1087</v>
      </c>
      <c r="P107" s="3">
        <v>0.17780000000000001</v>
      </c>
      <c r="Q107" s="3">
        <v>0.3962</v>
      </c>
      <c r="R107" s="3">
        <v>0.11940000000000001</v>
      </c>
      <c r="S107" s="3">
        <v>0.62680000000000002</v>
      </c>
      <c r="T107" s="3">
        <v>0.67400000000000004</v>
      </c>
      <c r="U107" s="3">
        <v>0.66690000000000005</v>
      </c>
      <c r="W107">
        <v>10</v>
      </c>
    </row>
    <row r="108" spans="1:23" ht="15" thickTop="1" x14ac:dyDescent="0.35">
      <c r="A108" t="s">
        <v>0</v>
      </c>
      <c r="B108">
        <f>AVERAGE(B98:B107)</f>
        <v>95.804010000000005</v>
      </c>
      <c r="C108">
        <f>AVERAGE(C98:C107)</f>
        <v>82.085430000000002</v>
      </c>
      <c r="D108">
        <f>AVERAGE(D98:D107)</f>
        <v>91.228089999999995</v>
      </c>
      <c r="E108">
        <f>AVERAGE(E98:E107)</f>
        <v>94.210530000000006</v>
      </c>
      <c r="F108">
        <f>AVERAGE(F98:F107)</f>
        <v>88.128659999999996</v>
      </c>
      <c r="G108">
        <f>AVERAGE(G98:G107)</f>
        <v>91.228089999999995</v>
      </c>
      <c r="H108">
        <f>AVERAGE(H98:H107)</f>
        <v>68.213760000000008</v>
      </c>
      <c r="I108">
        <f>AVERAGE(I98:I107)</f>
        <v>65.095159999999993</v>
      </c>
      <c r="J108">
        <f>AVERAGE(J98:J107)</f>
        <v>72.049779999999998</v>
      </c>
      <c r="L108" t="s">
        <v>0</v>
      </c>
      <c r="M108">
        <f>AVERAGE(M98:M107)</f>
        <v>0.11109999999999998</v>
      </c>
      <c r="N108">
        <f>AVERAGE(N98:N107)</f>
        <v>0.48630999999999991</v>
      </c>
      <c r="O108">
        <f>AVERAGE(O98:O107)</f>
        <v>0.23115000000000002</v>
      </c>
      <c r="P108">
        <f>AVERAGE(P98:P107)</f>
        <v>0.14845999999999998</v>
      </c>
      <c r="Q108">
        <f>AVERAGE(Q98:Q107)</f>
        <v>0.43668000000000007</v>
      </c>
      <c r="R108">
        <f>AVERAGE(R98:R107)</f>
        <v>0.12606000000000001</v>
      </c>
      <c r="S108">
        <f>AVERAGE(S98:S107)</f>
        <v>0.58113999999999999</v>
      </c>
      <c r="T108">
        <f>AVERAGE(T98:T107)</f>
        <v>0.67086000000000001</v>
      </c>
      <c r="U108">
        <f>AVERAGE(U98:U107)</f>
        <v>0.66296999999999995</v>
      </c>
    </row>
    <row r="109" spans="1:23" x14ac:dyDescent="0.35">
      <c r="A109" t="s">
        <v>24</v>
      </c>
      <c r="B109">
        <f>STDEV(B98:B107)</f>
        <v>0.82953403312408247</v>
      </c>
      <c r="C109">
        <f>STDEV(C98:C107)</f>
        <v>8.3994987620360071</v>
      </c>
      <c r="D109">
        <f>STDEV(D98:D107)</f>
        <v>1.5836253712780541</v>
      </c>
      <c r="E109">
        <f>STDEV(E98:E107)</f>
        <v>1.4177576928610407</v>
      </c>
      <c r="F109">
        <f>STDEV(F98:F107)</f>
        <v>3.0827829978049959</v>
      </c>
      <c r="G109">
        <f>STDEV(G98:G107)</f>
        <v>1.5836253712780541</v>
      </c>
      <c r="H109">
        <f>STDEV(H98:H107)</f>
        <v>2.3693304765505179</v>
      </c>
      <c r="I109">
        <f>STDEV(I98:I107)</f>
        <v>0.18522514348159705</v>
      </c>
      <c r="J109">
        <f>STDEV(J98:J107)</f>
        <v>8.8865459852771611</v>
      </c>
      <c r="L109" t="s">
        <v>24</v>
      </c>
      <c r="M109">
        <f>STDEV(M98:M107)</f>
        <v>1.9128919351483475E-2</v>
      </c>
      <c r="N109">
        <f>STDEV(N98:N107)</f>
        <v>0.1298592182155569</v>
      </c>
      <c r="O109">
        <f>STDEV(O98:O107)</f>
        <v>0.13377445570810598</v>
      </c>
      <c r="P109">
        <f>STDEV(P98:P107)</f>
        <v>3.0914477011408214E-2</v>
      </c>
      <c r="Q109">
        <f>STDEV(Q98:Q107)</f>
        <v>0.11253166270481846</v>
      </c>
      <c r="R109">
        <f>STDEV(R98:R107)</f>
        <v>8.2851248230387767E-2</v>
      </c>
      <c r="S109">
        <f>STDEV(S98:S107)</f>
        <v>2.2824071114115965E-2</v>
      </c>
      <c r="T109">
        <f>STDEV(T98:T107)</f>
        <v>2.9874552530354311E-3</v>
      </c>
      <c r="U109">
        <f>STDEV(U98:U107)</f>
        <v>7.1280432097455809E-3</v>
      </c>
    </row>
    <row r="110" spans="1:23" x14ac:dyDescent="0.35">
      <c r="A110" t="s">
        <v>25</v>
      </c>
      <c r="B110">
        <f>_xlfn.CONFIDENCE.NORM(0.05,B109,$B$1)</f>
        <v>0.45093155100511784</v>
      </c>
      <c r="C110">
        <f t="shared" ref="C110" si="50">_xlfn.CONFIDENCE.NORM(0.05,C109,$B$1)</f>
        <v>4.5659356375845173</v>
      </c>
      <c r="D110">
        <f t="shared" ref="D110" si="51">_xlfn.CONFIDENCE.NORM(0.05,D109,$B$1)</f>
        <v>0.86085273944951191</v>
      </c>
      <c r="E110">
        <f t="shared" ref="E110" si="52">_xlfn.CONFIDENCE.NORM(0.05,E109,$B$1)</f>
        <v>0.77068769919369629</v>
      </c>
      <c r="F110">
        <f t="shared" ref="F110" si="53">_xlfn.CONFIDENCE.NORM(0.05,F109,$B$1)</f>
        <v>1.675789133541767</v>
      </c>
      <c r="G110">
        <f t="shared" ref="G110" si="54">_xlfn.CONFIDENCE.NORM(0.05,G109,$B$1)</f>
        <v>0.86085273944951191</v>
      </c>
      <c r="H110">
        <f t="shared" ref="H110" si="55">_xlfn.CONFIDENCE.NORM(0.05,H109,$B$1)</f>
        <v>1.2879590516749864</v>
      </c>
      <c r="I110">
        <f t="shared" ref="I110" si="56">_xlfn.CONFIDENCE.NORM(0.05,I109,$B$1)</f>
        <v>0.10068768477255287</v>
      </c>
      <c r="J110">
        <f t="shared" ref="J110" si="57">_xlfn.CONFIDENCE.NORM(0.05,J109,$B$1)</f>
        <v>4.830692659019487</v>
      </c>
      <c r="L110" t="s">
        <v>25</v>
      </c>
      <c r="M110">
        <f t="shared" ref="M110" si="58">_xlfn.CONFIDENCE.NORM(0.05,M109,$B$1)</f>
        <v>1.0398407934790539E-2</v>
      </c>
      <c r="N110">
        <f t="shared" ref="N110" si="59">_xlfn.CONFIDENCE.NORM(0.05,N109,$B$1)</f>
        <v>7.0590977999686264E-2</v>
      </c>
      <c r="O110">
        <f t="shared" ref="O110" si="60">_xlfn.CONFIDENCE.NORM(0.05,O109,$B$1)</f>
        <v>7.2719286236081981E-2</v>
      </c>
      <c r="P110">
        <f t="shared" ref="P110" si="61">_xlfn.CONFIDENCE.NORM(0.05,P109,$B$1)</f>
        <v>1.6804992333787901E-2</v>
      </c>
      <c r="Q110">
        <f t="shared" ref="Q110" si="62">_xlfn.CONFIDENCE.NORM(0.05,Q109,$B$1)</f>
        <v>6.1171784609683658E-2</v>
      </c>
      <c r="R110">
        <f t="shared" ref="R110" si="63">_xlfn.CONFIDENCE.NORM(0.05,R109,$B$1)</f>
        <v>4.5037623985766474E-2</v>
      </c>
      <c r="S110">
        <f t="shared" ref="S110" si="64">_xlfn.CONFIDENCE.NORM(0.05,S109,$B$1)</f>
        <v>1.2407078403979019E-2</v>
      </c>
      <c r="T110">
        <f t="shared" ref="T110" si="65">_xlfn.CONFIDENCE.NORM(0.05,T109,$B$1)</f>
        <v>1.6239693334054537E-3</v>
      </c>
      <c r="U110">
        <f t="shared" ref="U110" si="66">_xlfn.CONFIDENCE.NORM(0.05,U109,$B$1)</f>
        <v>3.8747772265556725E-3</v>
      </c>
    </row>
    <row r="113" spans="1:23" x14ac:dyDescent="0.35">
      <c r="B113" s="2" t="s">
        <v>11</v>
      </c>
      <c r="C113" s="2"/>
      <c r="D113" s="2"/>
      <c r="E113" s="2"/>
      <c r="F113" s="2"/>
      <c r="G113" s="2"/>
      <c r="H113" s="2"/>
      <c r="I113" s="2"/>
      <c r="J113" s="2"/>
      <c r="M113" s="2" t="s">
        <v>28</v>
      </c>
      <c r="N113" s="2"/>
      <c r="O113" s="2"/>
      <c r="P113" s="2"/>
      <c r="Q113" s="2"/>
      <c r="R113" s="2"/>
      <c r="S113" s="2"/>
      <c r="T113" s="2"/>
      <c r="U113" s="2"/>
    </row>
    <row r="114" spans="1:23" x14ac:dyDescent="0.35">
      <c r="B114" s="2" t="s">
        <v>21</v>
      </c>
      <c r="C114" s="2"/>
      <c r="D114" s="2"/>
      <c r="E114" s="2" t="s">
        <v>22</v>
      </c>
      <c r="F114" s="2"/>
      <c r="G114" s="2"/>
      <c r="H114" s="2" t="s">
        <v>23</v>
      </c>
      <c r="I114" s="2"/>
      <c r="J114" s="2"/>
      <c r="M114" s="2" t="s">
        <v>21</v>
      </c>
      <c r="N114" s="2"/>
      <c r="O114" s="2"/>
      <c r="P114" s="2" t="s">
        <v>22</v>
      </c>
      <c r="Q114" s="2"/>
      <c r="R114" s="2"/>
      <c r="S114" s="2" t="s">
        <v>23</v>
      </c>
      <c r="T114" s="2"/>
      <c r="U114" s="2"/>
    </row>
    <row r="115" spans="1:23" x14ac:dyDescent="0.35">
      <c r="A115" t="s">
        <v>1</v>
      </c>
      <c r="B115" t="s">
        <v>2</v>
      </c>
      <c r="C115" t="s">
        <v>3</v>
      </c>
      <c r="D115" t="s">
        <v>4</v>
      </c>
      <c r="E115" t="s">
        <v>5</v>
      </c>
      <c r="F115" t="s">
        <v>6</v>
      </c>
      <c r="G115" t="s">
        <v>7</v>
      </c>
      <c r="H115" t="s">
        <v>8</v>
      </c>
      <c r="I115" t="s">
        <v>9</v>
      </c>
      <c r="J115" t="s">
        <v>10</v>
      </c>
      <c r="L115" t="s">
        <v>1</v>
      </c>
      <c r="M115" t="s">
        <v>12</v>
      </c>
      <c r="N115" t="s">
        <v>13</v>
      </c>
      <c r="O115" t="s">
        <v>14</v>
      </c>
      <c r="P115" t="s">
        <v>15</v>
      </c>
      <c r="Q115" t="s">
        <v>16</v>
      </c>
      <c r="R115" t="s">
        <v>17</v>
      </c>
      <c r="S115" t="s">
        <v>18</v>
      </c>
      <c r="T115" t="s">
        <v>19</v>
      </c>
      <c r="U115" t="s">
        <v>20</v>
      </c>
      <c r="W115" t="s">
        <v>27</v>
      </c>
    </row>
    <row r="116" spans="1:23" x14ac:dyDescent="0.35">
      <c r="A116">
        <v>3</v>
      </c>
      <c r="B116">
        <v>92.964799999999997</v>
      </c>
      <c r="C116">
        <v>82.914599999999993</v>
      </c>
      <c r="D116">
        <v>91.812899999999999</v>
      </c>
      <c r="E116">
        <v>94.152000000000001</v>
      </c>
      <c r="F116">
        <v>91.812899999999999</v>
      </c>
      <c r="G116">
        <v>91.812899999999999</v>
      </c>
      <c r="H116">
        <v>88.579800000000006</v>
      </c>
      <c r="I116">
        <v>65.007300000000001</v>
      </c>
      <c r="J116">
        <v>72.181600000000003</v>
      </c>
      <c r="L116">
        <v>3</v>
      </c>
      <c r="M116">
        <v>0.18010000000000001</v>
      </c>
      <c r="N116">
        <v>0.48349999999999999</v>
      </c>
      <c r="O116">
        <v>1.3295999999999999</v>
      </c>
      <c r="P116">
        <v>0.1154</v>
      </c>
      <c r="Q116">
        <v>0.38129999999999997</v>
      </c>
      <c r="R116">
        <v>0.1993</v>
      </c>
      <c r="S116">
        <v>0.65249999999999997</v>
      </c>
      <c r="T116">
        <v>0.6744</v>
      </c>
      <c r="U116">
        <v>0.67110000000000003</v>
      </c>
      <c r="W116">
        <v>1</v>
      </c>
    </row>
    <row r="117" spans="1:23" x14ac:dyDescent="0.35">
      <c r="A117">
        <v>3</v>
      </c>
      <c r="B117">
        <v>93.718599999999995</v>
      </c>
      <c r="C117">
        <v>53.015099999999997</v>
      </c>
      <c r="D117">
        <v>90.058499999999995</v>
      </c>
      <c r="E117">
        <v>89.473699999999994</v>
      </c>
      <c r="F117">
        <v>63.157899999999998</v>
      </c>
      <c r="G117">
        <v>90.058499999999995</v>
      </c>
      <c r="H117">
        <v>34.992699999999999</v>
      </c>
      <c r="I117">
        <v>65.007300000000001</v>
      </c>
      <c r="J117">
        <v>65.007300000000001</v>
      </c>
      <c r="L117">
        <v>3</v>
      </c>
      <c r="M117">
        <v>0.13869999999999999</v>
      </c>
      <c r="N117">
        <v>0.82789999999999997</v>
      </c>
      <c r="O117">
        <v>0.3387</v>
      </c>
      <c r="P117">
        <v>0.21429999999999999</v>
      </c>
      <c r="Q117">
        <v>0.74519999999999997</v>
      </c>
      <c r="R117">
        <v>8.9099999999999999E-2</v>
      </c>
      <c r="S117">
        <v>0.8196</v>
      </c>
      <c r="T117">
        <v>0.67649999999999999</v>
      </c>
      <c r="U117">
        <v>0.65090000000000003</v>
      </c>
      <c r="W117">
        <v>2</v>
      </c>
    </row>
    <row r="118" spans="1:23" x14ac:dyDescent="0.35">
      <c r="A118">
        <v>3</v>
      </c>
      <c r="B118">
        <v>92.964799999999997</v>
      </c>
      <c r="C118">
        <v>53.266300000000001</v>
      </c>
      <c r="D118">
        <v>91.812899999999999</v>
      </c>
      <c r="E118">
        <v>93.567300000000003</v>
      </c>
      <c r="F118">
        <v>60.8187</v>
      </c>
      <c r="G118">
        <v>91.812899999999999</v>
      </c>
      <c r="H118">
        <v>66.325000000000003</v>
      </c>
      <c r="I118">
        <v>65.007300000000001</v>
      </c>
      <c r="J118">
        <v>65.007300000000001</v>
      </c>
      <c r="L118">
        <v>3</v>
      </c>
      <c r="M118">
        <v>0.15820000000000001</v>
      </c>
      <c r="N118">
        <v>0.83709999999999996</v>
      </c>
      <c r="O118">
        <v>0.36449999999999999</v>
      </c>
      <c r="P118">
        <v>0.19689999999999999</v>
      </c>
      <c r="Q118">
        <v>0.7702</v>
      </c>
      <c r="R118">
        <v>0.1232</v>
      </c>
      <c r="S118">
        <v>0.63200000000000001</v>
      </c>
      <c r="T118">
        <v>0.67490000000000006</v>
      </c>
      <c r="U118">
        <v>0.66139999999999999</v>
      </c>
      <c r="W118">
        <v>3</v>
      </c>
    </row>
    <row r="119" spans="1:23" x14ac:dyDescent="0.35">
      <c r="A119">
        <v>3</v>
      </c>
      <c r="B119">
        <v>93.467299999999994</v>
      </c>
      <c r="C119">
        <v>76.130700000000004</v>
      </c>
      <c r="D119">
        <v>90.643299999999996</v>
      </c>
      <c r="E119">
        <v>91.228099999999998</v>
      </c>
      <c r="F119">
        <v>80.701800000000006</v>
      </c>
      <c r="G119">
        <v>90.643299999999996</v>
      </c>
      <c r="H119">
        <v>73.938500000000005</v>
      </c>
      <c r="I119">
        <v>65.007300000000001</v>
      </c>
      <c r="J119">
        <v>87.554900000000004</v>
      </c>
      <c r="L119">
        <v>3</v>
      </c>
      <c r="M119">
        <v>0.1623</v>
      </c>
      <c r="N119">
        <v>0.61109999999999998</v>
      </c>
      <c r="O119">
        <v>0.41239999999999999</v>
      </c>
      <c r="P119">
        <v>0.20399999999999999</v>
      </c>
      <c r="Q119">
        <v>0.56530000000000002</v>
      </c>
      <c r="R119">
        <v>0.23119999999999999</v>
      </c>
      <c r="S119">
        <v>0.64770000000000005</v>
      </c>
      <c r="T119">
        <v>0.67379999999999995</v>
      </c>
      <c r="U119">
        <v>0.67379999999999995</v>
      </c>
      <c r="W119">
        <v>4</v>
      </c>
    </row>
    <row r="120" spans="1:23" x14ac:dyDescent="0.35">
      <c r="A120">
        <v>3</v>
      </c>
      <c r="B120">
        <v>91.708500000000001</v>
      </c>
      <c r="C120">
        <v>51.256300000000003</v>
      </c>
      <c r="D120">
        <v>92.3977</v>
      </c>
      <c r="E120">
        <v>94.736800000000002</v>
      </c>
      <c r="F120">
        <v>70.760199999999998</v>
      </c>
      <c r="G120">
        <v>92.3977</v>
      </c>
      <c r="H120">
        <v>65.007300000000001</v>
      </c>
      <c r="I120">
        <v>65.007300000000001</v>
      </c>
      <c r="J120">
        <v>65.007300000000001</v>
      </c>
      <c r="L120">
        <v>3</v>
      </c>
      <c r="M120">
        <v>0.21410000000000001</v>
      </c>
      <c r="N120">
        <v>0.81389999999999996</v>
      </c>
      <c r="O120">
        <v>0.19059999999999999</v>
      </c>
      <c r="P120">
        <v>0.1163</v>
      </c>
      <c r="Q120">
        <v>0.7006</v>
      </c>
      <c r="R120">
        <v>8.5800000000000001E-2</v>
      </c>
      <c r="S120">
        <v>0.63190000000000002</v>
      </c>
      <c r="T120">
        <v>0.66779999999999995</v>
      </c>
      <c r="U120">
        <v>0.65310000000000001</v>
      </c>
      <c r="W120">
        <v>5</v>
      </c>
    </row>
    <row r="121" spans="1:23" x14ac:dyDescent="0.35">
      <c r="A121">
        <v>3</v>
      </c>
      <c r="B121">
        <v>94.221100000000007</v>
      </c>
      <c r="C121">
        <v>61.3065</v>
      </c>
      <c r="D121">
        <v>91.228099999999998</v>
      </c>
      <c r="E121">
        <v>94.152000000000001</v>
      </c>
      <c r="F121">
        <v>61.988300000000002</v>
      </c>
      <c r="G121">
        <v>91.228099999999998</v>
      </c>
      <c r="H121">
        <v>65.007300000000001</v>
      </c>
      <c r="I121">
        <v>65.007300000000001</v>
      </c>
      <c r="J121">
        <v>65.007300000000001</v>
      </c>
      <c r="L121">
        <v>3</v>
      </c>
      <c r="M121">
        <v>0.1799</v>
      </c>
      <c r="N121">
        <v>0.83550000000000002</v>
      </c>
      <c r="O121">
        <v>0.30059999999999998</v>
      </c>
      <c r="P121">
        <v>0.1444</v>
      </c>
      <c r="Q121">
        <v>0.71530000000000005</v>
      </c>
      <c r="R121">
        <v>0.23680000000000001</v>
      </c>
      <c r="S121">
        <v>0.64100000000000001</v>
      </c>
      <c r="T121">
        <v>0.68220000000000003</v>
      </c>
      <c r="U121">
        <v>0.6573</v>
      </c>
      <c r="W121">
        <v>6</v>
      </c>
    </row>
    <row r="122" spans="1:23" x14ac:dyDescent="0.35">
      <c r="A122">
        <v>3</v>
      </c>
      <c r="B122">
        <v>93.467299999999994</v>
      </c>
      <c r="C122">
        <v>79.145700000000005</v>
      </c>
      <c r="D122">
        <v>92.982500000000002</v>
      </c>
      <c r="E122">
        <v>93.567300000000003</v>
      </c>
      <c r="F122">
        <v>93.567300000000003</v>
      </c>
      <c r="G122">
        <v>92.982500000000002</v>
      </c>
      <c r="H122">
        <v>34.992699999999999</v>
      </c>
      <c r="I122">
        <v>65.007300000000001</v>
      </c>
      <c r="J122">
        <v>34.992699999999999</v>
      </c>
      <c r="L122">
        <v>3</v>
      </c>
      <c r="M122">
        <v>0.17219999999999999</v>
      </c>
      <c r="N122">
        <v>0.65559999999999996</v>
      </c>
      <c r="O122">
        <v>0.1704</v>
      </c>
      <c r="P122">
        <v>0.12939999999999999</v>
      </c>
      <c r="Q122">
        <v>0.57430000000000003</v>
      </c>
      <c r="R122">
        <v>9.6000000000000002E-2</v>
      </c>
      <c r="S122">
        <v>0.81389999999999996</v>
      </c>
      <c r="T122">
        <v>0.68210000000000004</v>
      </c>
      <c r="U122">
        <v>0.71020000000000005</v>
      </c>
      <c r="W122">
        <v>7</v>
      </c>
    </row>
    <row r="123" spans="1:23" x14ac:dyDescent="0.35">
      <c r="A123">
        <v>3</v>
      </c>
      <c r="B123">
        <v>92.211100000000002</v>
      </c>
      <c r="C123">
        <v>81.406999999999996</v>
      </c>
      <c r="D123">
        <v>95.321600000000004</v>
      </c>
      <c r="E123">
        <v>94.736800000000002</v>
      </c>
      <c r="F123">
        <v>95.321600000000004</v>
      </c>
      <c r="G123">
        <v>95.321600000000004</v>
      </c>
      <c r="H123">
        <v>34.992699999999999</v>
      </c>
      <c r="I123">
        <v>65.007300000000001</v>
      </c>
      <c r="J123">
        <v>65.007300000000001</v>
      </c>
      <c r="L123">
        <v>3</v>
      </c>
      <c r="M123">
        <v>0.2019</v>
      </c>
      <c r="N123">
        <v>0.51090000000000002</v>
      </c>
      <c r="O123">
        <v>0.36580000000000001</v>
      </c>
      <c r="P123">
        <v>0.1152</v>
      </c>
      <c r="Q123">
        <v>0.41820000000000002</v>
      </c>
      <c r="R123">
        <v>0.1016</v>
      </c>
      <c r="S123">
        <v>0.83250000000000002</v>
      </c>
      <c r="T123">
        <v>0.67789999999999995</v>
      </c>
      <c r="U123">
        <v>0.66510000000000002</v>
      </c>
      <c r="W123">
        <v>8</v>
      </c>
    </row>
    <row r="124" spans="1:23" x14ac:dyDescent="0.35">
      <c r="A124">
        <v>3</v>
      </c>
      <c r="B124">
        <v>94.221100000000007</v>
      </c>
      <c r="C124">
        <v>68.844200000000001</v>
      </c>
      <c r="D124">
        <v>93.567300000000003</v>
      </c>
      <c r="E124">
        <v>92.3977</v>
      </c>
      <c r="F124">
        <v>85.9649</v>
      </c>
      <c r="G124">
        <v>93.567300000000003</v>
      </c>
      <c r="H124">
        <v>34.992699999999999</v>
      </c>
      <c r="I124">
        <v>65.007300000000001</v>
      </c>
      <c r="J124">
        <v>65.153700000000001</v>
      </c>
      <c r="L124">
        <v>3</v>
      </c>
      <c r="M124">
        <v>0.1721</v>
      </c>
      <c r="N124">
        <v>0.65069999999999995</v>
      </c>
      <c r="O124">
        <v>0.12189999999999999</v>
      </c>
      <c r="P124">
        <v>0.17979999999999999</v>
      </c>
      <c r="Q124">
        <v>0.57169999999999999</v>
      </c>
      <c r="R124">
        <v>0.18590000000000001</v>
      </c>
      <c r="S124">
        <v>0.73599999999999999</v>
      </c>
      <c r="T124">
        <v>0.67459999999999998</v>
      </c>
      <c r="U124">
        <v>0.66739999999999999</v>
      </c>
      <c r="W124">
        <v>9</v>
      </c>
    </row>
    <row r="125" spans="1:23" ht="15" thickBot="1" x14ac:dyDescent="0.4">
      <c r="A125" s="3">
        <v>3</v>
      </c>
      <c r="B125" s="3">
        <v>92.211100000000002</v>
      </c>
      <c r="C125" s="3">
        <v>76.884399999999999</v>
      </c>
      <c r="D125" s="3">
        <v>93.567300000000003</v>
      </c>
      <c r="E125" s="3">
        <v>94.152000000000001</v>
      </c>
      <c r="F125" s="3">
        <v>88.304100000000005</v>
      </c>
      <c r="G125" s="3">
        <v>93.567300000000003</v>
      </c>
      <c r="H125" s="3">
        <v>65.007300000000001</v>
      </c>
      <c r="I125" s="3">
        <v>65.007300000000001</v>
      </c>
      <c r="J125" s="3">
        <v>65.007300000000001</v>
      </c>
      <c r="L125" s="3">
        <v>3</v>
      </c>
      <c r="M125" s="3">
        <v>0.1696</v>
      </c>
      <c r="N125" s="3">
        <v>0.54120000000000001</v>
      </c>
      <c r="O125" s="3">
        <v>0.24210000000000001</v>
      </c>
      <c r="P125" s="3">
        <v>0.15840000000000001</v>
      </c>
      <c r="Q125" s="3">
        <v>0.48259999999999997</v>
      </c>
      <c r="R125" s="3">
        <v>0.17899999999999999</v>
      </c>
      <c r="S125" s="3">
        <v>0.64370000000000005</v>
      </c>
      <c r="T125" s="3">
        <v>0.67030000000000001</v>
      </c>
      <c r="U125" s="3">
        <v>0.6583</v>
      </c>
      <c r="W125">
        <v>10</v>
      </c>
    </row>
    <row r="126" spans="1:23" ht="15" thickTop="1" x14ac:dyDescent="0.35">
      <c r="A126" t="s">
        <v>0</v>
      </c>
      <c r="B126">
        <f>AVERAGE(B116:B125)</f>
        <v>93.115570000000005</v>
      </c>
      <c r="C126">
        <f>AVERAGE(C116:C125)</f>
        <v>68.417080000000013</v>
      </c>
      <c r="D126">
        <f>AVERAGE(D116:D125)</f>
        <v>92.339210000000008</v>
      </c>
      <c r="E126">
        <f>AVERAGE(E116:E125)</f>
        <v>93.216370000000012</v>
      </c>
      <c r="F126">
        <f>AVERAGE(F116:F125)</f>
        <v>79.239769999999993</v>
      </c>
      <c r="G126">
        <f>AVERAGE(G116:G125)</f>
        <v>92.339210000000008</v>
      </c>
      <c r="H126">
        <f>AVERAGE(H116:H125)</f>
        <v>56.383600000000001</v>
      </c>
      <c r="I126">
        <f>AVERAGE(I116:I125)</f>
        <v>65.007300000000001</v>
      </c>
      <c r="J126">
        <f>AVERAGE(J116:J125)</f>
        <v>64.99266999999999</v>
      </c>
      <c r="L126" t="s">
        <v>0</v>
      </c>
      <c r="M126">
        <f>AVERAGE(M116:M125)</f>
        <v>0.17490999999999995</v>
      </c>
      <c r="N126">
        <f>AVERAGE(N116:N125)</f>
        <v>0.6767399999999999</v>
      </c>
      <c r="O126">
        <f>AVERAGE(O116:O125)</f>
        <v>0.38366</v>
      </c>
      <c r="P126">
        <f>AVERAGE(P116:P125)</f>
        <v>0.15740999999999999</v>
      </c>
      <c r="Q126">
        <f>AVERAGE(Q116:Q125)</f>
        <v>0.59246999999999994</v>
      </c>
      <c r="R126">
        <f>AVERAGE(R116:R125)</f>
        <v>0.15278999999999998</v>
      </c>
      <c r="S126">
        <f>AVERAGE(S116:S125)</f>
        <v>0.70507999999999993</v>
      </c>
      <c r="T126">
        <f>AVERAGE(T116:T125)</f>
        <v>0.67544999999999999</v>
      </c>
      <c r="U126">
        <f>AVERAGE(U116:U125)</f>
        <v>0.66686000000000001</v>
      </c>
    </row>
    <row r="127" spans="1:23" x14ac:dyDescent="0.35">
      <c r="A127" t="s">
        <v>24</v>
      </c>
      <c r="B127">
        <f>STDEV(B116:B125)</f>
        <v>0.86389990810407158</v>
      </c>
      <c r="C127">
        <f>STDEV(C116:C125)</f>
        <v>12.636882124761216</v>
      </c>
      <c r="D127">
        <f>STDEV(D116:D125)</f>
        <v>1.5703722845590216</v>
      </c>
      <c r="E127">
        <f>STDEV(E116:E125)</f>
        <v>1.703817474607473</v>
      </c>
      <c r="F127">
        <f>STDEV(F116:F125)</f>
        <v>13.820245378192292</v>
      </c>
      <c r="G127">
        <f>STDEV(G116:G125)</f>
        <v>1.5703722845590216</v>
      </c>
      <c r="H127">
        <f>STDEV(H116:H125)</f>
        <v>19.711779497774661</v>
      </c>
      <c r="I127">
        <f>STDEV(I116:I125)</f>
        <v>0</v>
      </c>
      <c r="J127">
        <f>STDEV(J116:J125)</f>
        <v>12.739964904892458</v>
      </c>
      <c r="L127" t="s">
        <v>24</v>
      </c>
      <c r="M127">
        <f>STDEV(M116:M125)</f>
        <v>2.1367132080214703E-2</v>
      </c>
      <c r="N127">
        <f>STDEV(N116:N125)</f>
        <v>0.14190433553787052</v>
      </c>
      <c r="O127">
        <f>STDEV(O116:O125)</f>
        <v>0.345855532460207</v>
      </c>
      <c r="P127">
        <f>STDEV(P116:P125)</f>
        <v>3.8957568085175913E-2</v>
      </c>
      <c r="Q127">
        <f>STDEV(Q116:Q125)</f>
        <v>0.13752885798179898</v>
      </c>
      <c r="R127">
        <f>STDEV(R116:R125)</f>
        <v>6.0016098766173698E-2</v>
      </c>
      <c r="S127">
        <f>STDEV(S116:S125)</f>
        <v>8.6136452471904185E-2</v>
      </c>
      <c r="T127">
        <f>STDEV(T116:T125)</f>
        <v>4.5556436305849313E-3</v>
      </c>
      <c r="U127">
        <f>STDEV(U116:U125)</f>
        <v>1.6952299090225043E-2</v>
      </c>
    </row>
    <row r="128" spans="1:23" x14ac:dyDescent="0.35">
      <c r="A128" t="s">
        <v>25</v>
      </c>
      <c r="B128">
        <f>_xlfn.CONFIDENCE.NORM(0.05,B127,$B$1)</f>
        <v>0.46961271017108114</v>
      </c>
      <c r="C128">
        <f t="shared" ref="C128" si="67">_xlfn.CONFIDENCE.NORM(0.05,C127,$B$1)</f>
        <v>6.8693611459519914</v>
      </c>
      <c r="D128">
        <f t="shared" ref="D128" si="68">_xlfn.CONFIDENCE.NORM(0.05,D127,$B$1)</f>
        <v>0.85364841182559059</v>
      </c>
      <c r="E128">
        <f t="shared" ref="E128" si="69">_xlfn.CONFIDENCE.NORM(0.05,E127,$B$1)</f>
        <v>0.92618871049917129</v>
      </c>
      <c r="F128">
        <f t="shared" ref="F128" si="70">_xlfn.CONFIDENCE.NORM(0.05,F127,$B$1)</f>
        <v>7.5126329177712901</v>
      </c>
      <c r="G128">
        <f t="shared" ref="G128" si="71">_xlfn.CONFIDENCE.NORM(0.05,G127,$B$1)</f>
        <v>0.85364841182559059</v>
      </c>
      <c r="H128">
        <f t="shared" ref="H128" si="72">_xlfn.CONFIDENCE.NORM(0.05,H127,$B$1)</f>
        <v>10.715248497433059</v>
      </c>
      <c r="I128">
        <v>0</v>
      </c>
      <c r="J128">
        <f t="shared" ref="J128" si="73">_xlfn.CONFIDENCE.NORM(0.05,J127,$B$1)</f>
        <v>6.9253965538682181</v>
      </c>
      <c r="L128" t="s">
        <v>25</v>
      </c>
      <c r="M128">
        <f t="shared" ref="M128" si="74">_xlfn.CONFIDENCE.NORM(0.05,M127,$B$1)</f>
        <v>1.1615091876551371E-2</v>
      </c>
      <c r="N128">
        <f t="shared" ref="N128" si="75">_xlfn.CONFIDENCE.NORM(0.05,N127,$B$1)</f>
        <v>7.7138658045716443E-2</v>
      </c>
      <c r="O128">
        <f t="shared" ref="O128" si="76">_xlfn.CONFIDENCE.NORM(0.05,O127,$B$1)</f>
        <v>0.18800575437349634</v>
      </c>
      <c r="P128">
        <f t="shared" ref="P128" si="77">_xlfn.CONFIDENCE.NORM(0.05,P127,$B$1)</f>
        <v>2.1177186105163854E-2</v>
      </c>
      <c r="Q128">
        <f t="shared" ref="Q128" si="78">_xlfn.CONFIDENCE.NORM(0.05,Q127,$B$1)</f>
        <v>7.476016505813303E-2</v>
      </c>
      <c r="R128">
        <f t="shared" ref="R128" si="79">_xlfn.CONFIDENCE.NORM(0.05,R127,$B$1)</f>
        <v>3.2624523432734087E-2</v>
      </c>
      <c r="S128">
        <f t="shared" ref="S128" si="80">_xlfn.CONFIDENCE.NORM(0.05,S127,$B$1)</f>
        <v>4.6823448538879181E-2</v>
      </c>
      <c r="T128">
        <f t="shared" ref="T128" si="81">_xlfn.CONFIDENCE.NORM(0.05,T127,$B$1)</f>
        <v>2.4764305816720694E-3</v>
      </c>
      <c r="U128">
        <f t="shared" ref="U128" si="82">_xlfn.CONFIDENCE.NORM(0.05,U127,$B$1)</f>
        <v>9.215205424506533E-3</v>
      </c>
    </row>
  </sheetData>
  <mergeCells count="56">
    <mergeCell ref="B113:J113"/>
    <mergeCell ref="M113:U113"/>
    <mergeCell ref="B114:D114"/>
    <mergeCell ref="E114:G114"/>
    <mergeCell ref="H114:J114"/>
    <mergeCell ref="M114:O114"/>
    <mergeCell ref="P114:R114"/>
    <mergeCell ref="S114:U114"/>
    <mergeCell ref="B95:J95"/>
    <mergeCell ref="M95:U95"/>
    <mergeCell ref="B96:D96"/>
    <mergeCell ref="E96:G96"/>
    <mergeCell ref="H96:J96"/>
    <mergeCell ref="M96:O96"/>
    <mergeCell ref="P96:R96"/>
    <mergeCell ref="S96:U96"/>
    <mergeCell ref="B77:J77"/>
    <mergeCell ref="M77:U77"/>
    <mergeCell ref="B78:D78"/>
    <mergeCell ref="E78:G78"/>
    <mergeCell ref="H78:J78"/>
    <mergeCell ref="M78:O78"/>
    <mergeCell ref="P78:R78"/>
    <mergeCell ref="S78:U78"/>
    <mergeCell ref="B59:J59"/>
    <mergeCell ref="M59:U59"/>
    <mergeCell ref="B60:D60"/>
    <mergeCell ref="E60:G60"/>
    <mergeCell ref="H60:J60"/>
    <mergeCell ref="M60:O60"/>
    <mergeCell ref="P60:R60"/>
    <mergeCell ref="S60:U60"/>
    <mergeCell ref="B41:J41"/>
    <mergeCell ref="M41:U41"/>
    <mergeCell ref="B42:D42"/>
    <mergeCell ref="E42:G42"/>
    <mergeCell ref="H42:J42"/>
    <mergeCell ref="M42:O42"/>
    <mergeCell ref="P42:R42"/>
    <mergeCell ref="S42:U42"/>
    <mergeCell ref="B23:J23"/>
    <mergeCell ref="M23:U23"/>
    <mergeCell ref="B24:D24"/>
    <mergeCell ref="E24:G24"/>
    <mergeCell ref="H24:J24"/>
    <mergeCell ref="M24:O24"/>
    <mergeCell ref="P24:R24"/>
    <mergeCell ref="S24:U24"/>
    <mergeCell ref="B5:J5"/>
    <mergeCell ref="M5:U5"/>
    <mergeCell ref="B6:D6"/>
    <mergeCell ref="E6:G6"/>
    <mergeCell ref="H6:J6"/>
    <mergeCell ref="M6:O6"/>
    <mergeCell ref="P6:R6"/>
    <mergeCell ref="S6:U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BAFF9-1707-4DDC-B8D5-C323890134FF}">
  <dimension ref="A5:U29"/>
  <sheetViews>
    <sheetView tabSelected="1" topLeftCell="A12" zoomScaleNormal="100" workbookViewId="0">
      <selection activeCell="I38" sqref="I38"/>
    </sheetView>
  </sheetViews>
  <sheetFormatPr defaultRowHeight="14.5" x14ac:dyDescent="0.35"/>
  <cols>
    <col min="3" max="3" width="11" bestFit="1" customWidth="1"/>
    <col min="6" max="6" width="12.08984375" bestFit="1" customWidth="1"/>
    <col min="7" max="7" width="8.81640625" bestFit="1" customWidth="1"/>
    <col min="8" max="8" width="9.36328125" bestFit="1" customWidth="1"/>
    <col min="9" max="9" width="13.1796875" bestFit="1" customWidth="1"/>
    <col min="10" max="10" width="10.7265625" customWidth="1"/>
    <col min="14" max="14" width="11.7265625" bestFit="1" customWidth="1"/>
    <col min="15" max="15" width="8.36328125" bestFit="1" customWidth="1"/>
    <col min="16" max="16" width="9.54296875" bestFit="1" customWidth="1"/>
    <col min="17" max="17" width="12.90625" bestFit="1" customWidth="1"/>
    <col min="18" max="18" width="9.54296875" bestFit="1" customWidth="1"/>
    <col min="19" max="19" width="10.08984375" bestFit="1" customWidth="1"/>
    <col min="20" max="20" width="13.90625" bestFit="1" customWidth="1"/>
    <col min="21" max="21" width="10.08984375" bestFit="1" customWidth="1"/>
  </cols>
  <sheetData>
    <row r="5" spans="1:21" x14ac:dyDescent="0.35">
      <c r="B5" s="6" t="s">
        <v>11</v>
      </c>
      <c r="C5" s="6"/>
      <c r="D5" s="6"/>
      <c r="E5" s="6"/>
      <c r="F5" s="6"/>
      <c r="G5" s="6"/>
      <c r="H5" s="6"/>
      <c r="I5" s="6"/>
      <c r="J5" s="6"/>
      <c r="M5" s="6" t="s">
        <v>25</v>
      </c>
      <c r="N5" s="6"/>
      <c r="O5" s="6"/>
      <c r="P5" s="6"/>
      <c r="Q5" s="6"/>
      <c r="R5" s="6"/>
      <c r="S5" s="6"/>
      <c r="T5" s="6"/>
      <c r="U5" s="6"/>
    </row>
    <row r="6" spans="1:21" x14ac:dyDescent="0.35">
      <c r="B6" s="6" t="s">
        <v>21</v>
      </c>
      <c r="C6" s="6"/>
      <c r="D6" s="6"/>
      <c r="E6" s="6" t="s">
        <v>22</v>
      </c>
      <c r="F6" s="6"/>
      <c r="G6" s="6"/>
      <c r="H6" s="6" t="s">
        <v>23</v>
      </c>
      <c r="I6" s="6"/>
      <c r="J6" s="6"/>
      <c r="M6" s="6" t="s">
        <v>21</v>
      </c>
      <c r="N6" s="6"/>
      <c r="O6" s="6"/>
      <c r="P6" s="6" t="s">
        <v>22</v>
      </c>
      <c r="Q6" s="6"/>
      <c r="R6" s="6"/>
      <c r="S6" s="6" t="s">
        <v>23</v>
      </c>
      <c r="T6" s="6"/>
      <c r="U6" s="6"/>
    </row>
    <row r="7" spans="1:21" x14ac:dyDescent="0.35">
      <c r="A7" s="5" t="s">
        <v>1</v>
      </c>
      <c r="B7" s="5" t="s">
        <v>2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  <c r="I7" s="5" t="s">
        <v>9</v>
      </c>
      <c r="J7" s="5" t="s">
        <v>10</v>
      </c>
      <c r="L7" s="5" t="s">
        <v>1</v>
      </c>
      <c r="M7" s="5" t="s">
        <v>2</v>
      </c>
      <c r="N7" s="5" t="s">
        <v>3</v>
      </c>
      <c r="O7" s="5" t="s">
        <v>4</v>
      </c>
      <c r="P7" s="5" t="s">
        <v>5</v>
      </c>
      <c r="Q7" s="5" t="s">
        <v>6</v>
      </c>
      <c r="R7" s="5" t="s">
        <v>7</v>
      </c>
      <c r="S7" s="5" t="s">
        <v>8</v>
      </c>
      <c r="T7" s="5" t="s">
        <v>9</v>
      </c>
      <c r="U7" s="5" t="s">
        <v>10</v>
      </c>
    </row>
    <row r="8" spans="1:21" x14ac:dyDescent="0.35">
      <c r="A8" s="5">
        <v>9</v>
      </c>
      <c r="B8" s="5">
        <v>96.231169999999992</v>
      </c>
      <c r="C8" s="5">
        <v>83.492459999999994</v>
      </c>
      <c r="D8" s="5">
        <v>91.988329999999991</v>
      </c>
      <c r="E8" s="5">
        <v>95.380089999999981</v>
      </c>
      <c r="F8" s="5">
        <v>88.947379999999995</v>
      </c>
      <c r="G8" s="5">
        <v>91.988329999999991</v>
      </c>
      <c r="H8" s="5">
        <v>69.487569999999991</v>
      </c>
      <c r="I8" s="5">
        <v>65.124439999999993</v>
      </c>
      <c r="J8" s="5">
        <v>67.994140000000002</v>
      </c>
      <c r="L8" s="5">
        <v>9</v>
      </c>
      <c r="M8" s="5">
        <v>0.38631314202403849</v>
      </c>
      <c r="N8" s="5">
        <v>4.051696708588759</v>
      </c>
      <c r="O8" s="5">
        <v>1.1118657154052645</v>
      </c>
      <c r="P8" s="5">
        <v>0.71003091629040127</v>
      </c>
      <c r="Q8" s="5">
        <v>1.318828224454438</v>
      </c>
      <c r="R8" s="5">
        <v>1.1118657154052645</v>
      </c>
      <c r="S8" s="5">
        <v>2.2421101976995956</v>
      </c>
      <c r="T8" s="5">
        <v>0.13424260635393606</v>
      </c>
      <c r="U8" s="5">
        <v>7.2210172594144586</v>
      </c>
    </row>
    <row r="9" spans="1:21" x14ac:dyDescent="0.35">
      <c r="A9" s="5">
        <v>8</v>
      </c>
      <c r="B9" s="5">
        <v>96.432170000000013</v>
      </c>
      <c r="C9" s="5">
        <v>83.693470000000005</v>
      </c>
      <c r="D9" s="5">
        <v>93.333339999999993</v>
      </c>
      <c r="E9" s="5">
        <v>95.32162000000001</v>
      </c>
      <c r="F9" s="5">
        <v>89.766100000000009</v>
      </c>
      <c r="G9" s="5">
        <v>93.333339999999993</v>
      </c>
      <c r="H9" s="5">
        <v>69.516829999999999</v>
      </c>
      <c r="I9" s="5">
        <v>65.329409999999996</v>
      </c>
      <c r="J9" s="5">
        <v>73.133220000000009</v>
      </c>
      <c r="L9" s="5">
        <v>8</v>
      </c>
      <c r="M9" s="5">
        <v>0.26390545106277763</v>
      </c>
      <c r="N9" s="5">
        <v>3.7279423829454075</v>
      </c>
      <c r="O9" s="5">
        <v>0.85034122443962756</v>
      </c>
      <c r="P9" s="5">
        <v>0.76410703616027675</v>
      </c>
      <c r="Q9" s="5">
        <v>2.768284342959408</v>
      </c>
      <c r="R9" s="5">
        <v>0.85034122443962756</v>
      </c>
      <c r="S9" s="5">
        <v>1.5956809078778114</v>
      </c>
      <c r="T9" s="5">
        <v>0.47280662855668093</v>
      </c>
      <c r="U9" s="5">
        <v>12.086193565217739</v>
      </c>
    </row>
    <row r="10" spans="1:21" x14ac:dyDescent="0.35">
      <c r="A10" s="5">
        <v>7</v>
      </c>
      <c r="B10" s="5">
        <v>96.281419999999997</v>
      </c>
      <c r="C10" s="5">
        <v>85.703519999999997</v>
      </c>
      <c r="D10" s="5">
        <v>92.690090000000012</v>
      </c>
      <c r="E10" s="5">
        <v>95.614010000000022</v>
      </c>
      <c r="F10" s="5">
        <v>90.818740000000005</v>
      </c>
      <c r="G10" s="5">
        <v>92.690090000000012</v>
      </c>
      <c r="H10" s="5">
        <v>68.081980000000001</v>
      </c>
      <c r="I10" s="5">
        <v>65.12442999999999</v>
      </c>
      <c r="J10" s="5">
        <v>71.185950000000005</v>
      </c>
      <c r="L10" s="5">
        <v>7</v>
      </c>
      <c r="M10" s="5">
        <v>0.33331033918552722</v>
      </c>
      <c r="N10" s="5">
        <v>2.2027453587161334</v>
      </c>
      <c r="O10" s="5">
        <v>0.67435013939583055</v>
      </c>
      <c r="P10" s="5">
        <v>0.6743472920963447</v>
      </c>
      <c r="Q10" s="5">
        <v>1.340782059075198</v>
      </c>
      <c r="R10" s="5">
        <v>0.67435013939583055</v>
      </c>
      <c r="S10" s="5">
        <v>1.8226754468542699</v>
      </c>
      <c r="T10" s="5">
        <v>0.20134671950960162</v>
      </c>
      <c r="U10" s="5">
        <v>11.148266412176945</v>
      </c>
    </row>
    <row r="11" spans="1:21" x14ac:dyDescent="0.35">
      <c r="A11" s="5">
        <v>6</v>
      </c>
      <c r="B11" s="5">
        <v>96.005039999999994</v>
      </c>
      <c r="C11" s="5">
        <v>79.547740000000005</v>
      </c>
      <c r="D11" s="5">
        <v>92.807029999999997</v>
      </c>
      <c r="E11" s="5">
        <v>95.614010000000007</v>
      </c>
      <c r="F11" s="5">
        <v>88.12867</v>
      </c>
      <c r="G11" s="5">
        <v>92.807029999999997</v>
      </c>
      <c r="H11" s="5">
        <v>68.477299999999985</v>
      </c>
      <c r="I11" s="5">
        <v>65.12442999999999</v>
      </c>
      <c r="J11" s="5">
        <v>73.967780000000005</v>
      </c>
      <c r="L11" s="5">
        <v>6</v>
      </c>
      <c r="M11" s="5">
        <v>0.23614119014276586</v>
      </c>
      <c r="N11" s="5">
        <v>7.4809551334426825</v>
      </c>
      <c r="O11" s="5">
        <v>0.94835410983229662</v>
      </c>
      <c r="P11" s="5">
        <v>0.65748543669442316</v>
      </c>
      <c r="Q11" s="5">
        <v>4.4480955065748935</v>
      </c>
      <c r="R11" s="5">
        <v>0.94835410983229662</v>
      </c>
      <c r="S11" s="5">
        <v>0.96828175826601681</v>
      </c>
      <c r="T11" s="5">
        <v>0.20134671950960162</v>
      </c>
      <c r="U11" s="5">
        <v>8.9263887232107297</v>
      </c>
    </row>
    <row r="12" spans="1:21" x14ac:dyDescent="0.35">
      <c r="A12" s="5">
        <v>5</v>
      </c>
      <c r="B12" s="5">
        <v>95.778890000000004</v>
      </c>
      <c r="C12" s="5">
        <v>80.778890000000004</v>
      </c>
      <c r="D12" s="5">
        <v>92.514640000000014</v>
      </c>
      <c r="E12" s="5">
        <v>95.380090000000024</v>
      </c>
      <c r="F12" s="5">
        <v>88.596499999999992</v>
      </c>
      <c r="G12" s="5">
        <v>92.514640000000014</v>
      </c>
      <c r="H12" s="5">
        <v>70.366020000000006</v>
      </c>
      <c r="I12" s="5">
        <v>65.036579999999987</v>
      </c>
      <c r="J12" s="5">
        <v>72.606149999999985</v>
      </c>
      <c r="L12" s="5">
        <v>5</v>
      </c>
      <c r="M12" s="5">
        <v>0.5020366349606602</v>
      </c>
      <c r="N12" s="5">
        <v>5.1376410823703784</v>
      </c>
      <c r="O12" s="5">
        <v>0.96885131905340394</v>
      </c>
      <c r="P12" s="5">
        <v>0.64367918935563129</v>
      </c>
      <c r="Q12" s="5">
        <v>2.3372220640011716</v>
      </c>
      <c r="R12" s="5">
        <v>0.96885131905340394</v>
      </c>
      <c r="S12" s="5">
        <v>1.6859280669958823</v>
      </c>
      <c r="T12" s="5">
        <v>5.0332382372074783E-2</v>
      </c>
      <c r="U12" s="5">
        <v>6.2289817061438244</v>
      </c>
    </row>
    <row r="13" spans="1:21" x14ac:dyDescent="0.35">
      <c r="A13" s="5">
        <v>4</v>
      </c>
      <c r="B13" s="5">
        <v>95.804010000000005</v>
      </c>
      <c r="C13" s="5">
        <v>82.085430000000002</v>
      </c>
      <c r="D13" s="5">
        <v>91.228089999999995</v>
      </c>
      <c r="E13" s="5">
        <v>94.210530000000006</v>
      </c>
      <c r="F13" s="5">
        <v>88.128659999999996</v>
      </c>
      <c r="G13" s="5">
        <v>91.228089999999995</v>
      </c>
      <c r="H13" s="5">
        <v>68.213760000000008</v>
      </c>
      <c r="I13" s="5">
        <v>65.095159999999993</v>
      </c>
      <c r="J13" s="5">
        <v>72.049779999999998</v>
      </c>
      <c r="L13" s="5">
        <v>4</v>
      </c>
      <c r="M13" s="5">
        <v>0.45093155100511784</v>
      </c>
      <c r="N13" s="5">
        <v>4.5659356375845173</v>
      </c>
      <c r="O13" s="5">
        <v>0.86085273944951191</v>
      </c>
      <c r="P13" s="5">
        <v>0.77068769919369629</v>
      </c>
      <c r="Q13" s="5">
        <v>1.675789133541767</v>
      </c>
      <c r="R13" s="5">
        <v>0.86085273944951191</v>
      </c>
      <c r="S13" s="5">
        <v>1.2879590516749864</v>
      </c>
      <c r="T13" s="5">
        <v>0.10068768477255287</v>
      </c>
      <c r="U13" s="5">
        <v>4.830692659019487</v>
      </c>
    </row>
    <row r="14" spans="1:21" x14ac:dyDescent="0.35">
      <c r="A14" s="5">
        <v>3</v>
      </c>
      <c r="B14" s="5">
        <v>93.115570000000005</v>
      </c>
      <c r="C14" s="5">
        <v>68.417080000000013</v>
      </c>
      <c r="D14" s="5">
        <v>92.339210000000008</v>
      </c>
      <c r="E14" s="5">
        <v>93.216370000000012</v>
      </c>
      <c r="F14" s="5">
        <v>79.239769999999993</v>
      </c>
      <c r="G14" s="5">
        <v>92.339210000000008</v>
      </c>
      <c r="H14" s="5">
        <v>56.383600000000001</v>
      </c>
      <c r="I14" s="5">
        <v>65.007300000000001</v>
      </c>
      <c r="J14" s="5">
        <v>64.99266999999999</v>
      </c>
      <c r="L14" s="5">
        <v>3</v>
      </c>
      <c r="M14" s="5">
        <v>0.46961271017108114</v>
      </c>
      <c r="N14" s="5">
        <v>6.8693611459519914</v>
      </c>
      <c r="O14" s="5">
        <v>0.85364841182559059</v>
      </c>
      <c r="P14" s="5">
        <v>0.92618871049917129</v>
      </c>
      <c r="Q14" s="5">
        <v>7.5126329177712901</v>
      </c>
      <c r="R14" s="5">
        <v>0.85364841182559059</v>
      </c>
      <c r="S14" s="5">
        <v>10.715248497433059</v>
      </c>
      <c r="T14" s="5">
        <v>0</v>
      </c>
      <c r="U14" s="5">
        <v>6.9253965538682181</v>
      </c>
    </row>
    <row r="20" spans="1:21" x14ac:dyDescent="0.35">
      <c r="B20" s="6" t="s">
        <v>28</v>
      </c>
      <c r="C20" s="6"/>
      <c r="D20" s="6"/>
      <c r="E20" s="6"/>
      <c r="F20" s="6"/>
      <c r="G20" s="6"/>
      <c r="H20" s="6"/>
      <c r="I20" s="6"/>
      <c r="J20" s="6"/>
      <c r="M20" s="6" t="s">
        <v>28</v>
      </c>
      <c r="N20" s="6"/>
      <c r="O20" s="6"/>
      <c r="P20" s="6"/>
      <c r="Q20" s="6"/>
      <c r="R20" s="6"/>
      <c r="S20" s="6"/>
      <c r="T20" s="6"/>
      <c r="U20" s="6"/>
    </row>
    <row r="21" spans="1:21" x14ac:dyDescent="0.35">
      <c r="B21" s="6" t="s">
        <v>21</v>
      </c>
      <c r="C21" s="6"/>
      <c r="D21" s="6"/>
      <c r="E21" s="6" t="s">
        <v>22</v>
      </c>
      <c r="F21" s="6"/>
      <c r="G21" s="6"/>
      <c r="H21" s="6" t="s">
        <v>23</v>
      </c>
      <c r="I21" s="6"/>
      <c r="J21" s="6"/>
      <c r="M21" s="6" t="s">
        <v>21</v>
      </c>
      <c r="N21" s="6"/>
      <c r="O21" s="6"/>
      <c r="P21" s="6" t="s">
        <v>22</v>
      </c>
      <c r="Q21" s="6"/>
      <c r="R21" s="6"/>
      <c r="S21" s="6" t="s">
        <v>23</v>
      </c>
      <c r="T21" s="6"/>
      <c r="U21" s="6"/>
    </row>
    <row r="22" spans="1:21" x14ac:dyDescent="0.35">
      <c r="A22" s="5" t="s">
        <v>1</v>
      </c>
      <c r="B22" s="5" t="s">
        <v>12</v>
      </c>
      <c r="C22" s="5" t="s">
        <v>13</v>
      </c>
      <c r="D22" s="5" t="s">
        <v>14</v>
      </c>
      <c r="E22" s="5" t="s">
        <v>15</v>
      </c>
      <c r="F22" s="5" t="s">
        <v>16</v>
      </c>
      <c r="G22" s="5" t="s">
        <v>17</v>
      </c>
      <c r="H22" s="5" t="s">
        <v>18</v>
      </c>
      <c r="I22" s="5" t="s">
        <v>19</v>
      </c>
      <c r="J22" s="5" t="s">
        <v>20</v>
      </c>
      <c r="L22" s="5" t="s">
        <v>1</v>
      </c>
      <c r="M22" s="5" t="s">
        <v>12</v>
      </c>
      <c r="N22" s="5" t="s">
        <v>13</v>
      </c>
      <c r="O22" s="5" t="s">
        <v>14</v>
      </c>
      <c r="P22" s="5" t="s">
        <v>15</v>
      </c>
      <c r="Q22" s="5" t="s">
        <v>16</v>
      </c>
      <c r="R22" s="5" t="s">
        <v>17</v>
      </c>
      <c r="S22" s="5" t="s">
        <v>18</v>
      </c>
      <c r="T22" s="5" t="s">
        <v>19</v>
      </c>
      <c r="U22" s="5" t="s">
        <v>20</v>
      </c>
    </row>
    <row r="23" spans="1:21" x14ac:dyDescent="0.35">
      <c r="A23" s="5">
        <v>9</v>
      </c>
      <c r="B23" s="5">
        <v>9.3420000000000003E-2</v>
      </c>
      <c r="C23" s="5">
        <v>0.47931000000000007</v>
      </c>
      <c r="D23" s="5">
        <v>0.17833000000000004</v>
      </c>
      <c r="E23" s="5">
        <v>0.11733</v>
      </c>
      <c r="F23" s="5">
        <v>0.42571000000000003</v>
      </c>
      <c r="G23" s="5">
        <v>0.22529999999999997</v>
      </c>
      <c r="H23" s="5">
        <v>0.64571999999999985</v>
      </c>
      <c r="I23" s="5">
        <v>0.66691</v>
      </c>
      <c r="J23" s="5">
        <v>0.66259999999999997</v>
      </c>
      <c r="L23" s="5">
        <v>9</v>
      </c>
      <c r="M23" s="5">
        <v>5.6823530222949266E-3</v>
      </c>
      <c r="N23" s="5">
        <v>7.0363915359431997E-2</v>
      </c>
      <c r="O23" s="5">
        <v>4.5979578221274811E-2</v>
      </c>
      <c r="P23" s="5">
        <v>1.2056050683168373E-2</v>
      </c>
      <c r="Q23" s="5">
        <v>5.8845328635876562E-2</v>
      </c>
      <c r="R23" s="5">
        <v>8.6428726925378438E-2</v>
      </c>
      <c r="S23" s="5">
        <v>4.446500130456315E-2</v>
      </c>
      <c r="T23" s="5">
        <v>1.7335426017640531E-3</v>
      </c>
      <c r="U23" s="5">
        <v>6.293154915643486E-3</v>
      </c>
    </row>
    <row r="24" spans="1:21" x14ac:dyDescent="0.35">
      <c r="A24" s="5">
        <v>8</v>
      </c>
      <c r="B24" s="5">
        <v>9.4049999999999995E-2</v>
      </c>
      <c r="C24" s="5">
        <v>0.46489000000000003</v>
      </c>
      <c r="D24" s="5">
        <v>0.14585999999999999</v>
      </c>
      <c r="E24" s="5">
        <v>0.11865000000000001</v>
      </c>
      <c r="F24" s="5">
        <v>0.39550999999999997</v>
      </c>
      <c r="G24" s="5">
        <v>0.16092999999999999</v>
      </c>
      <c r="H24" s="5">
        <v>0.66405999999999998</v>
      </c>
      <c r="I24" s="5">
        <v>0.66916999999999993</v>
      </c>
      <c r="J24" s="5">
        <v>0.67870999999999992</v>
      </c>
      <c r="L24" s="5">
        <v>8</v>
      </c>
      <c r="M24" s="5">
        <v>6.8787416684628153E-3</v>
      </c>
      <c r="N24" s="5">
        <v>6.7087849335558059E-2</v>
      </c>
      <c r="O24" s="5">
        <v>4.3065806311027688E-2</v>
      </c>
      <c r="P24" s="5">
        <v>1.5357215437305644E-2</v>
      </c>
      <c r="Q24" s="5">
        <v>6.7530385777024901E-2</v>
      </c>
      <c r="R24" s="5">
        <v>6.0110800825638827E-2</v>
      </c>
      <c r="S24" s="5">
        <v>7.0894936089324637E-2</v>
      </c>
      <c r="T24" s="5">
        <v>2.7942290177415236E-3</v>
      </c>
      <c r="U24" s="5">
        <v>6.266775979500796E-3</v>
      </c>
    </row>
    <row r="25" spans="1:21" x14ac:dyDescent="0.35">
      <c r="A25" s="5">
        <v>7</v>
      </c>
      <c r="B25" s="5">
        <v>9.8110000000000017E-2</v>
      </c>
      <c r="C25" s="5">
        <v>0.45056000000000002</v>
      </c>
      <c r="D25" s="5">
        <v>0.27527000000000001</v>
      </c>
      <c r="E25" s="5">
        <v>0.12127000000000002</v>
      </c>
      <c r="F25" s="5">
        <v>0.38567000000000001</v>
      </c>
      <c r="G25" s="5">
        <v>0.21446999999999999</v>
      </c>
      <c r="H25" s="5">
        <v>0.6494899999999999</v>
      </c>
      <c r="I25" s="5">
        <v>0.66882999999999992</v>
      </c>
      <c r="J25" s="5">
        <v>0.67513000000000001</v>
      </c>
      <c r="L25" s="5">
        <v>7</v>
      </c>
      <c r="M25" s="5">
        <v>4.4318150857670683E-3</v>
      </c>
      <c r="N25" s="5">
        <v>4.1236980118145687E-2</v>
      </c>
      <c r="O25" s="5">
        <v>8.8812448524255558E-2</v>
      </c>
      <c r="P25" s="5">
        <v>1.7816324447988831E-2</v>
      </c>
      <c r="Q25" s="5">
        <v>3.4335740682914985E-2</v>
      </c>
      <c r="R25" s="5">
        <v>7.0191600245367969E-2</v>
      </c>
      <c r="S25" s="5">
        <v>4.4054249143651379E-2</v>
      </c>
      <c r="T25" s="5">
        <v>1.5192733208791614E-3</v>
      </c>
      <c r="U25" s="5">
        <v>3.2345928147830558E-3</v>
      </c>
    </row>
    <row r="26" spans="1:21" x14ac:dyDescent="0.35">
      <c r="A26" s="5">
        <v>6</v>
      </c>
      <c r="B26" s="5">
        <v>0.10754999999999999</v>
      </c>
      <c r="C26" s="5">
        <v>0.50723999999999991</v>
      </c>
      <c r="D26" s="5">
        <v>0.16886000000000001</v>
      </c>
      <c r="E26" s="5">
        <v>0.11503000000000001</v>
      </c>
      <c r="F26" s="5">
        <v>0.44075000000000009</v>
      </c>
      <c r="G26" s="5">
        <v>0.15576000000000001</v>
      </c>
      <c r="H26" s="5">
        <v>0.62204000000000004</v>
      </c>
      <c r="I26" s="5">
        <v>0.67154000000000003</v>
      </c>
      <c r="J26" s="5">
        <v>0.67044999999999999</v>
      </c>
      <c r="L26" s="5">
        <v>6</v>
      </c>
      <c r="M26" s="5">
        <v>4.897480343793381E-3</v>
      </c>
      <c r="N26" s="5">
        <v>8.3122581398359222E-2</v>
      </c>
      <c r="O26" s="5">
        <v>5.6504489932944844E-2</v>
      </c>
      <c r="P26" s="5">
        <v>1.8096103608122648E-2</v>
      </c>
      <c r="Q26" s="5">
        <v>7.2821240914221749E-2</v>
      </c>
      <c r="R26" s="5">
        <v>4.5732609278008506E-2</v>
      </c>
      <c r="S26" s="5">
        <v>4.1654686148157677E-2</v>
      </c>
      <c r="T26" s="5">
        <v>2.15545776953974E-3</v>
      </c>
      <c r="U26" s="5">
        <v>7.9945920700245851E-3</v>
      </c>
    </row>
    <row r="27" spans="1:21" x14ac:dyDescent="0.35">
      <c r="A27" s="5">
        <v>5</v>
      </c>
      <c r="B27" s="5">
        <v>0.11063000000000001</v>
      </c>
      <c r="C27" s="5">
        <v>0.50957999999999992</v>
      </c>
      <c r="D27" s="5">
        <v>0.22841</v>
      </c>
      <c r="E27" s="5">
        <v>0.11685999999999999</v>
      </c>
      <c r="F27" s="5">
        <v>0.44001999999999991</v>
      </c>
      <c r="G27" s="5">
        <v>0.17440000000000003</v>
      </c>
      <c r="H27" s="5">
        <v>0.58983999999999992</v>
      </c>
      <c r="I27" s="5">
        <v>0.66906999999999994</v>
      </c>
      <c r="J27" s="5">
        <v>0.66339999999999999</v>
      </c>
      <c r="L27" s="5">
        <v>5</v>
      </c>
      <c r="M27" s="5">
        <v>9.1016631159758516E-3</v>
      </c>
      <c r="N27" s="5">
        <v>6.9848602293893766E-2</v>
      </c>
      <c r="O27" s="5">
        <v>4.9593226021098752E-2</v>
      </c>
      <c r="P27" s="5">
        <v>1.2042266680429022E-2</v>
      </c>
      <c r="Q27" s="5">
        <v>5.8815182196331035E-2</v>
      </c>
      <c r="R27" s="5">
        <v>8.3215691915457704E-2</v>
      </c>
      <c r="S27" s="5">
        <v>2.4584404319661784E-2</v>
      </c>
      <c r="T27" s="5">
        <v>1.8669713804949626E-3</v>
      </c>
      <c r="U27" s="5">
        <v>5.0278649224772543E-3</v>
      </c>
    </row>
    <row r="28" spans="1:21" x14ac:dyDescent="0.35">
      <c r="A28" s="5">
        <v>4</v>
      </c>
      <c r="B28" s="5">
        <v>0.11109999999999998</v>
      </c>
      <c r="C28" s="5">
        <v>0.48630999999999991</v>
      </c>
      <c r="D28" s="5">
        <v>0.23115000000000002</v>
      </c>
      <c r="E28" s="5">
        <v>0.14845999999999998</v>
      </c>
      <c r="F28" s="5">
        <v>0.43668000000000007</v>
      </c>
      <c r="G28" s="5">
        <v>0.12606000000000001</v>
      </c>
      <c r="H28" s="5">
        <v>0.58113999999999999</v>
      </c>
      <c r="I28" s="5">
        <v>0.67086000000000001</v>
      </c>
      <c r="J28" s="5">
        <v>0.66296999999999995</v>
      </c>
      <c r="L28" s="5">
        <v>4</v>
      </c>
      <c r="M28" s="5">
        <v>1.0398407934790539E-2</v>
      </c>
      <c r="N28" s="5">
        <v>7.0590977999686264E-2</v>
      </c>
      <c r="O28" s="5">
        <v>7.2719286236081981E-2</v>
      </c>
      <c r="P28" s="5">
        <v>1.6804992333787901E-2</v>
      </c>
      <c r="Q28" s="5">
        <v>6.1171784609683658E-2</v>
      </c>
      <c r="R28" s="5">
        <v>4.5037623985766474E-2</v>
      </c>
      <c r="S28" s="5">
        <v>1.2407078403979019E-2</v>
      </c>
      <c r="T28" s="5">
        <v>1.6239693334054537E-3</v>
      </c>
      <c r="U28" s="5">
        <v>3.8747772265556725E-3</v>
      </c>
    </row>
    <row r="29" spans="1:21" x14ac:dyDescent="0.35">
      <c r="A29" s="5">
        <v>3</v>
      </c>
      <c r="B29" s="5">
        <v>0.17490999999999995</v>
      </c>
      <c r="C29" s="5">
        <v>0.6767399999999999</v>
      </c>
      <c r="D29" s="5">
        <v>0.38366</v>
      </c>
      <c r="E29" s="5">
        <v>0.15740999999999999</v>
      </c>
      <c r="F29" s="5">
        <v>0.59246999999999994</v>
      </c>
      <c r="G29" s="5">
        <v>0.15278999999999998</v>
      </c>
      <c r="H29" s="5">
        <v>0.70507999999999993</v>
      </c>
      <c r="I29" s="5">
        <v>0.67544999999999999</v>
      </c>
      <c r="J29" s="5">
        <v>0.66686000000000001</v>
      </c>
      <c r="L29" s="5">
        <v>3</v>
      </c>
      <c r="M29" s="5">
        <v>1.1615091876551371E-2</v>
      </c>
      <c r="N29" s="5">
        <v>7.7138658045716443E-2</v>
      </c>
      <c r="O29" s="5">
        <v>0.18800575437349634</v>
      </c>
      <c r="P29" s="5">
        <v>2.1177186105163854E-2</v>
      </c>
      <c r="Q29" s="5">
        <v>7.476016505813303E-2</v>
      </c>
      <c r="R29" s="5">
        <v>3.2624523432734087E-2</v>
      </c>
      <c r="S29" s="5">
        <v>4.6823448538879181E-2</v>
      </c>
      <c r="T29" s="5">
        <v>2.4764305816720694E-3</v>
      </c>
      <c r="U29" s="5">
        <v>9.215205424506533E-3</v>
      </c>
    </row>
  </sheetData>
  <mergeCells count="16">
    <mergeCell ref="B20:J20"/>
    <mergeCell ref="B21:D21"/>
    <mergeCell ref="E21:G21"/>
    <mergeCell ref="H21:J21"/>
    <mergeCell ref="M20:U20"/>
    <mergeCell ref="M21:O21"/>
    <mergeCell ref="P21:R21"/>
    <mergeCell ref="S21:U21"/>
    <mergeCell ref="B5:J5"/>
    <mergeCell ref="M5:U5"/>
    <mergeCell ref="B6:D6"/>
    <mergeCell ref="E6:G6"/>
    <mergeCell ref="H6:J6"/>
    <mergeCell ref="M6:O6"/>
    <mergeCell ref="P6:R6"/>
    <mergeCell ref="S6:U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diff_split_30</vt:lpstr>
      <vt:lpstr>diff_split_30_summary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Farouq Aliyu Muhammad</dc:creator>
  <cp:lastModifiedBy>Farouq Aliyu Muhammad</cp:lastModifiedBy>
  <dcterms:created xsi:type="dcterms:W3CDTF">2025-11-26T07:42:00Z</dcterms:created>
  <dcterms:modified xsi:type="dcterms:W3CDTF">2025-12-02T05:48:19Z</dcterms:modified>
</cp:coreProperties>
</file>